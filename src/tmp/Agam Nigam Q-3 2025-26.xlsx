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PAN" sheetId="1" r:id="rId5"/>
    <sheet state="visible" name="Oct-25" sheetId="2" r:id="rId6"/>
    <sheet state="visible" name="Nov-25" sheetId="3" r:id="rId7"/>
    <sheet state="visible" name="Dec-25" sheetId="4" r:id="rId8"/>
    <sheet state="visible" name="Cumulative" sheetId="5" r:id="rId9"/>
    <sheet state="visible" name="Formula" sheetId="6" r:id="rId10"/>
  </sheets>
  <definedNames/>
  <calcPr/>
</workbook>
</file>

<file path=xl/sharedStrings.xml><?xml version="1.0" encoding="utf-8"?>
<sst xmlns="http://schemas.openxmlformats.org/spreadsheetml/2006/main" count="241" uniqueCount="166">
  <si>
    <t>Name</t>
  </si>
  <si>
    <t>Agam Nigam</t>
  </si>
  <si>
    <t>Quarter</t>
  </si>
  <si>
    <t xml:space="preserve">TAN:  </t>
  </si>
  <si>
    <t>AMRA18801G</t>
  </si>
  <si>
    <t xml:space="preserve">PAN: </t>
  </si>
  <si>
    <t xml:space="preserve">ABBCA6137F	</t>
  </si>
  <si>
    <t>Employee Name</t>
  </si>
  <si>
    <t>PAN No.</t>
  </si>
  <si>
    <t>Acct. No.</t>
  </si>
  <si>
    <t>IFSC</t>
  </si>
  <si>
    <t>Date of Birth</t>
  </si>
  <si>
    <t>Days Worked</t>
  </si>
  <si>
    <t>No. of Business Days</t>
  </si>
  <si>
    <t>Base Salary</t>
  </si>
  <si>
    <t>Actual Salary</t>
  </si>
  <si>
    <t>Bonus</t>
  </si>
  <si>
    <t>Actual+Bonus</t>
  </si>
  <si>
    <t>Company Sent
Advances</t>
  </si>
  <si>
    <t>Bills</t>
  </si>
  <si>
    <t>TDS Percent</t>
  </si>
  <si>
    <t>TDS Withheld</t>
  </si>
  <si>
    <t>After TDS Withheld</t>
  </si>
  <si>
    <t>Total - TDS&amp;Advance</t>
  </si>
  <si>
    <t>Total</t>
  </si>
  <si>
    <t>No-Emp</t>
  </si>
  <si>
    <t>AXSPKXXXXX</t>
  </si>
  <si>
    <t xml:space="preserve"> SBIN0011439</t>
  </si>
  <si>
    <t>Salary of Ankit Arya included. as Adv.</t>
  </si>
  <si>
    <t>Total:</t>
  </si>
  <si>
    <t>Aadhar No.</t>
  </si>
  <si>
    <t xml:space="preserve">Mohit Kumar Nijhawan </t>
  </si>
  <si>
    <t>BGIPN8805K</t>
  </si>
  <si>
    <t>Shivesh</t>
  </si>
  <si>
    <t>JTQPS1699R</t>
  </si>
  <si>
    <t>Nikita Panda</t>
  </si>
  <si>
    <t>GHTPP5876H</t>
  </si>
  <si>
    <t>Gaurav Bourai</t>
  </si>
  <si>
    <t>EQUPB9359B</t>
  </si>
  <si>
    <t>Abhishek Singh</t>
  </si>
  <si>
    <t>LVRPS6992L</t>
  </si>
  <si>
    <t>Vinay Kumar Shukla</t>
  </si>
  <si>
    <t>JSDPS9525Q</t>
  </si>
  <si>
    <t>Rahul Gupta</t>
  </si>
  <si>
    <t>CVBPG4568B</t>
  </si>
  <si>
    <t>Nakita Rashid</t>
  </si>
  <si>
    <t>GOSPR2385H</t>
  </si>
  <si>
    <t>Bhavik Ahuja</t>
  </si>
  <si>
    <t>DZEPA4841K</t>
  </si>
  <si>
    <t xml:space="preserve">Sanu Pati        </t>
  </si>
  <si>
    <t xml:space="preserve">DCQPP3523Q        </t>
  </si>
  <si>
    <t>Salary Formula: Rounded (No. of Days Present/No. of Business Days)*Monthly Salary</t>
  </si>
  <si>
    <t>Rahul Kumar (Subodh Shukla ji)</t>
  </si>
  <si>
    <t>MEVPK6224B</t>
  </si>
  <si>
    <t>PAID</t>
  </si>
  <si>
    <t>Manish Pandey</t>
  </si>
  <si>
    <t>CSSPP2373P</t>
  </si>
  <si>
    <t>HDFC0001603</t>
  </si>
  <si>
    <t>Sujal Kashyap</t>
  </si>
  <si>
    <t>OHLPK9323L</t>
  </si>
  <si>
    <t>SBIN0001536</t>
  </si>
  <si>
    <t xml:space="preserve">Shivang Sharma ( Dr. Narinder ) </t>
  </si>
  <si>
    <t>TNGPS4846L</t>
  </si>
  <si>
    <t>PUNB0018510</t>
  </si>
  <si>
    <t>Oct-25 Sal</t>
  </si>
  <si>
    <t>Oct-25 TDS</t>
  </si>
  <si>
    <t>Nov-25 Sal</t>
  </si>
  <si>
    <t>Nov-25 TDS</t>
  </si>
  <si>
    <t>Dec-25 Sal</t>
  </si>
  <si>
    <t>Dec-25 TDS</t>
  </si>
  <si>
    <t>Total Sal</t>
  </si>
  <si>
    <t>Total TDS</t>
  </si>
  <si>
    <t>Totals</t>
  </si>
  <si>
    <t>Totals (Rounded Up)</t>
  </si>
  <si>
    <t>/**Go to Extensions App Sheet*/</t>
  </si>
  <si>
    <t>function generateCumulativeSheet() {</t>
  </si>
  <si>
    <t>const ss = SpreadsheetApp.getActiveSpreadsheet();</t>
  </si>
  <si>
    <t>const cumulativeSheet = ss.getSheetByName("Cumulative") || ss.insertSheet("Cumulative");</t>
  </si>
  <si>
    <t>// Clear existing content (keep headers)</t>
  </si>
  <si>
    <t>cumulativeSheet.clear();</t>
  </si>
  <si>
    <t>// Dynamically read sheet names (2nd, 3rd, 4th sheets)</t>
  </si>
  <si>
    <t>const mth1st = ss.getSheets()[1].getName(); // 2nd sheet</t>
  </si>
  <si>
    <t>const mth2nd = ss.getSheets()[2].getName(); // 3rd sheet</t>
  </si>
  <si>
    <t>const mth3rd = ss.getSheets()[3].getName(); // 4th sheet</t>
  </si>
  <si>
    <t>// Set headers (unchanged)</t>
  </si>
  <si>
    <t>cumulativeSheet.getRange("A1").setValue("Name");</t>
  </si>
  <si>
    <t>cumulativeSheet.getRange("B1").setValue("PAN No.");</t>
  </si>
  <si>
    <t>cumulativeSheet.getRange("C1").setValue("Date of Birth");</t>
  </si>
  <si>
    <t>cumulativeSheet.getRange("D1").setValue(mth1st + " Sal");</t>
  </si>
  <si>
    <t>cumulativeSheet.getRange("E1").setValue(mth1st + " TDS");</t>
  </si>
  <si>
    <t>cumulativeSheet.getRange("F1").setValue(mth2nd + " Sal");</t>
  </si>
  <si>
    <t>cumulativeSheet.getRange("G1").setValue(mth2nd + " TDS");</t>
  </si>
  <si>
    <t>cumulativeSheet.getRange("H1").setValue(mth3rd + " Sal");</t>
  </si>
  <si>
    <t>cumulativeSheet.getRange("I1").setValue(mth3rd + " TDS");</t>
  </si>
  <si>
    <t>cumulativeSheet.getRange("K1").setValue("Total Sal"); // Skip J</t>
  </si>
  <si>
    <t>cumulativeSheet.getRange("L1").setValue("Total TDS");</t>
  </si>
  <si>
    <t>const sheetNames = [mth1st, mth2nd, mth3rd];</t>
  </si>
  <si>
    <t>const panMap = {};</t>
  </si>
  <si>
    <t>// Process data (unchanged)</t>
  </si>
  <si>
    <t>sheetNames.forEach((sheetName) =&gt; {</t>
  </si>
  <si>
    <t>const sheet = ss.getSheetByName(sheetName);</t>
  </si>
  <si>
    <t>const data = sheet.getRange("A2:O" + sheet.getLastRow()).getValues();</t>
  </si>
  <si>
    <t>data.forEach(row =&gt; {</t>
  </si>
  <si>
    <t>const name = row[0];</t>
  </si>
  <si>
    <t>const panNo = row[1];</t>
  </si>
  <si>
    <t>const dob = row[4];</t>
  </si>
  <si>
    <t>if (panNo) {</t>
  </si>
  <si>
    <t>if (!panMap[panNo]) {</t>
  </si>
  <si>
    <t>panMap[panNo] = { name, panNo, dob, JulSal: "", JulTDS: "", AugSal: "", AugTDS: "", SepSal: "", SepTDS: "" };</t>
  </si>
  <si>
    <t>}</t>
  </si>
  <si>
    <t>if (sheetName === mth1st) {</t>
  </si>
  <si>
    <t>panMap[panNo].JulSal = row[8];</t>
  </si>
  <si>
    <t>panMap[panNo].JulTDS = row[14];</t>
  </si>
  <si>
    <t>if (sheetName === mth2nd) {</t>
  </si>
  <si>
    <t>panMap[panNo].AugSal = row[8];</t>
  </si>
  <si>
    <t>panMap[panNo].AugTDS = row[14];</t>
  </si>
  <si>
    <t>if (sheetName === mth3rd) {</t>
  </si>
  <si>
    <t>panMap[panNo].SepSal = row[8];</t>
  </si>
  <si>
    <t>panMap[panNo].SepTDS = row[14];</t>
  </si>
  <si>
    <t>});</t>
  </si>
  <si>
    <t>// Filter out entries with all TDS = 0 (unchanged)</t>
  </si>
  <si>
    <t>const filteredEntries = Object.values(panMap).filter(entry =&gt; {</t>
  </si>
  <si>
    <t>const tds1 = entry.JulTDS || 0;</t>
  </si>
  <si>
    <t>const tds2 = entry.AugTDS || 0;</t>
  </si>
  <si>
    <t>const tds3 = entry.SepTDS || 0;</t>
  </si>
  <si>
    <t>return tds1 !== 0 || tds2 !== 0 || tds3 !== 0;</t>
  </si>
  <si>
    <t>const outputData = filteredEntries.map(entry =&gt; [</t>
  </si>
  <si>
    <t>entry.name,</t>
  </si>
  <si>
    <t>entry.panNo,</t>
  </si>
  <si>
    <t>entry.dob,</t>
  </si>
  <si>
    <t>entry.JulSal,</t>
  </si>
  <si>
    <t>entry.JulTDS,</t>
  </si>
  <si>
    <t>entry.AugSal,</t>
  </si>
  <si>
    <t>entry.AugTDS,</t>
  </si>
  <si>
    <t>entry.SepSal,</t>
  </si>
  <si>
    <t>entry.SepTDS,</t>
  </si>
  <si>
    <t>, // Empty column J</t>
  </si>
  <si>
    <t>(entry.JulSal || 0) + (entry.AugSal || 0) + (entry.SepSal || 0),</t>
  </si>
  <si>
    <t>(entry.JulTDS || 0) + (entry.AugTDS || 0) + (entry.SepTDS || 0)</t>
  </si>
  <si>
    <t>]);</t>
  </si>
  <si>
    <t>// Write data to sheet (unchanged until Totals row)</t>
  </si>
  <si>
    <t>if (outputData.length &gt; 0) {</t>
  </si>
  <si>
    <t>cumulativeSheet.getRange(2, 1, outputData.length, outputData[0].length).setValues(outputData);</t>
  </si>
  <si>
    <t>const lastDataRow = outputData.length + 1;</t>
  </si>
  <si>
    <t>const emptyRow = lastDataRow + 1;</t>
  </si>
  <si>
    <t>cumulativeSheet.getRange(emptyRow, 1, 1, 12).clearContent();</t>
  </si>
  <si>
    <t>// Add "Totals" row</t>
  </si>
  <si>
    <t>cumulativeSheet.getRange(emptyRow + 1, 1).setValue("Totals");</t>
  </si>
  <si>
    <t>cumulativeSheet.getRange(emptyRow + 1, 4).setFormula(`=SUM(D2:D${lastDataRow})`);</t>
  </si>
  <si>
    <t>cumulativeSheet.getRange(emptyRow + 1, 5).setFormula(`=SUM(E2:E${lastDataRow})`);</t>
  </si>
  <si>
    <t>cumulativeSheet.getRange(emptyRow + 1, 6).setFormula(`=SUM(F2:F${lastDataRow})`);</t>
  </si>
  <si>
    <t>cumulativeSheet.getRange(emptyRow + 1, 7).setFormula(`=SUM(G2:G${lastDataRow})`);</t>
  </si>
  <si>
    <t>cumulativeSheet.getRange(emptyRow + 1, 8).setFormula(`=SUM(H2:H${lastDataRow})`);</t>
  </si>
  <si>
    <t>cumulativeSheet.getRange(emptyRow + 1, 9).setFormula(`=SUM(I2:I${lastDataRow})`);</t>
  </si>
  <si>
    <t>cumulativeSheet.getRange(emptyRow + 1, 11).setFormula(`=SUM(K2:K${lastDataRow})`);</t>
  </si>
  <si>
    <t>cumulativeSheet.getRange(emptyRow + 1, 12).setFormula(`=SUM(L2:L${lastDataRow})`);</t>
  </si>
  <si>
    <t>// Add "Totals (Rounded Up)" row with Math.ceil()</t>
  </si>
  <si>
    <t>const totalsRow = emptyRow + 1;</t>
  </si>
  <si>
    <t>const roundedRow = totalsRow + 1;</t>
  </si>
  <si>
    <t>cumulativeSheet.getRange(roundedRow, 1).setValue("Totals (Rounded Up)");</t>
  </si>
  <si>
    <t>// Apply Math.ceil() to each numeric column (D-I, K-L)</t>
  </si>
  <si>
    <t>[4, 5, 6, 7, 8, 9, 11, 12].forEach(col =&gt; {</t>
  </si>
  <si>
    <t>const value = cumulativeSheet.getRange(totalsRow, col).getValue();</t>
  </si>
  <si>
    <t>cumulativeSheet.getRange(roundedRow, col).setValue(Math.ceil(value));</t>
  </si>
  <si>
    <t>} else {</t>
  </si>
  <si>
    <t>cumulativeSheet.getRange("A2").setValue("No entries with TDS &gt; 0 found.");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</si>
</sst>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_ [$₹-4009]\ * #,##0.00_ ;_ [$₹-4009]\ * \-#,##0.00_ ;_ [$₹-4009]\ * &quot;-&quot;??_ ;_ @_ "/>
    <numFmt numFmtId="166" formatCode="dd/mm/yyyy"/>
  </numFmts>
  <fonts count="7">
    <font>
      <sz val="10.0"/>
      <color rgb="FF000000"/>
      <name val="Arial"/>
      <scheme val="minor"/>
    </font>
    <font>
      <color theme="1"/>
      <name val="Arial"/>
    </font>
    <font>
      <color rgb="FF222222"/>
      <name val="Arial"/>
    </font>
    <font>
      <color theme="1"/>
      <name val="Calibri"/>
    </font>
    <font>
      <sz val="11.0"/>
      <color theme="1"/>
      <name val="Calibri"/>
    </font>
    <font>
      <sz val="11.0"/>
      <color rgb="FF222222"/>
      <name val="Calibri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BDBDBD"/>
        <bgColor rgb="FFBDBDBD"/>
      </patternFill>
    </fill>
    <fill>
      <patternFill patternType="solid">
        <fgColor rgb="FFEA9999"/>
        <bgColor rgb="FFEA9999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3" fontId="1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0" fillId="4" fontId="3" numFmtId="164" xfId="0" applyAlignment="1" applyFont="1" applyNumberFormat="1">
      <alignment vertical="bottom"/>
    </xf>
    <xf borderId="0" fillId="5" fontId="3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4" fontId="4" numFmtId="164" xfId="0" applyAlignment="1" applyFont="1" applyNumberFormat="1">
      <alignment vertical="bottom"/>
    </xf>
    <xf borderId="0" fillId="4" fontId="4" numFmtId="4" xfId="0" applyAlignment="1" applyFont="1" applyNumberFormat="1">
      <alignment vertical="bottom"/>
    </xf>
    <xf borderId="0" fillId="5" fontId="4" numFmtId="4" xfId="0" applyAlignment="1" applyFont="1" applyNumberFormat="1">
      <alignment vertical="bottom"/>
    </xf>
    <xf borderId="0" fillId="3" fontId="3" numFmtId="0" xfId="0" applyAlignment="1" applyFont="1">
      <alignment readingOrder="0" vertical="bottom"/>
    </xf>
    <xf borderId="0" fillId="6" fontId="3" numFmtId="0" xfId="0" applyAlignment="1" applyFill="1" applyFont="1">
      <alignment readingOrder="0" vertical="bottom"/>
    </xf>
    <xf borderId="0" fillId="6" fontId="3" numFmtId="0" xfId="0" applyAlignment="1" applyFont="1">
      <alignment vertical="bottom"/>
    </xf>
    <xf borderId="0" fillId="7" fontId="3" numFmtId="164" xfId="0" applyAlignment="1" applyFill="1" applyFont="1" applyNumberFormat="1">
      <alignment horizontal="right" vertical="bottom"/>
    </xf>
    <xf borderId="0" fillId="6" fontId="3" numFmtId="0" xfId="0" applyAlignment="1" applyFont="1">
      <alignment horizontal="right" vertical="bottom"/>
    </xf>
    <xf borderId="0" fillId="6" fontId="4" numFmtId="0" xfId="0" applyAlignment="1" applyFont="1">
      <alignment vertical="bottom"/>
    </xf>
    <xf borderId="0" fillId="6" fontId="3" numFmtId="4" xfId="0" applyAlignment="1" applyFont="1" applyNumberFormat="1">
      <alignment vertical="bottom"/>
    </xf>
    <xf borderId="0" fillId="6" fontId="4" numFmtId="4" xfId="0" applyAlignment="1" applyFont="1" applyNumberFormat="1">
      <alignment vertical="bottom"/>
    </xf>
    <xf borderId="0" fillId="6" fontId="4" numFmtId="0" xfId="0" applyAlignment="1" applyFont="1">
      <alignment horizontal="right" vertical="bottom"/>
    </xf>
    <xf borderId="0" fillId="6" fontId="3" numFmtId="4" xfId="0" applyAlignment="1" applyFont="1" applyNumberFormat="1">
      <alignment horizontal="right" readingOrder="0" vertical="bottom"/>
    </xf>
    <xf borderId="0" fillId="6" fontId="3" numFmtId="4" xfId="0" applyAlignment="1" applyFont="1" applyNumberFormat="1">
      <alignment horizontal="right" vertical="bottom"/>
    </xf>
    <xf borderId="0" fillId="5" fontId="3" numFmtId="4" xfId="0" applyAlignment="1" applyFont="1" applyNumberFormat="1">
      <alignment horizontal="right" vertical="bottom"/>
    </xf>
    <xf borderId="0" fillId="5" fontId="3" numFmtId="0" xfId="0" applyAlignment="1" applyFont="1">
      <alignment horizontal="right" vertical="bottom"/>
    </xf>
    <xf borderId="0" fillId="5" fontId="3" numFmtId="4" xfId="0" applyAlignment="1" applyFont="1" applyNumberFormat="1">
      <alignment horizontal="right" vertical="bottom"/>
    </xf>
    <xf borderId="0" fillId="5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4" numFmtId="164" xfId="0" applyAlignment="1" applyFont="1" applyNumberFormat="1">
      <alignment vertical="bottom"/>
    </xf>
    <xf borderId="0" fillId="8" fontId="4" numFmtId="164" xfId="0" applyAlignment="1" applyFill="1" applyFont="1" applyNumberFormat="1">
      <alignment horizontal="right" vertical="bottom"/>
    </xf>
    <xf borderId="0" fillId="2" fontId="4" numFmtId="0" xfId="0" applyAlignment="1" applyFont="1">
      <alignment horizontal="right" vertical="bottom"/>
    </xf>
    <xf borderId="0" fillId="2" fontId="3" numFmtId="0" xfId="0" applyAlignment="1" applyFont="1">
      <alignment horizontal="right" vertical="bottom"/>
    </xf>
    <xf borderId="0" fillId="2" fontId="4" numFmtId="4" xfId="0" applyAlignment="1" applyFont="1" applyNumberFormat="1">
      <alignment vertical="bottom"/>
    </xf>
    <xf borderId="0" fillId="2" fontId="4" numFmtId="4" xfId="0" applyAlignment="1" applyFont="1" applyNumberFormat="1">
      <alignment horizontal="right" vertical="bottom"/>
    </xf>
    <xf borderId="0" fillId="9" fontId="4" numFmtId="0" xfId="0" applyAlignment="1" applyFill="1" applyFont="1">
      <alignment vertical="bottom"/>
    </xf>
    <xf borderId="0" fillId="9" fontId="4" numFmtId="164" xfId="0" applyAlignment="1" applyFont="1" applyNumberFormat="1">
      <alignment vertical="bottom"/>
    </xf>
    <xf borderId="0" fillId="9" fontId="4" numFmtId="0" xfId="0" applyAlignment="1" applyFont="1">
      <alignment horizontal="right" vertical="bottom"/>
    </xf>
    <xf borderId="0" fillId="9" fontId="4" numFmtId="4" xfId="0" applyAlignment="1" applyFont="1" applyNumberFormat="1">
      <alignment vertical="bottom"/>
    </xf>
    <xf borderId="0" fillId="9" fontId="4" numFmtId="4" xfId="0" applyAlignment="1" applyFont="1" applyNumberFormat="1">
      <alignment horizontal="right" vertical="bottom"/>
    </xf>
    <xf borderId="0" fillId="9" fontId="4" numFmtId="165" xfId="0" applyAlignment="1" applyFont="1" applyNumberFormat="1">
      <alignment vertical="bottom"/>
    </xf>
    <xf borderId="0" fillId="3" fontId="4" numFmtId="0" xfId="0" applyAlignment="1" applyFont="1">
      <alignment horizontal="right" vertical="bottom"/>
    </xf>
    <xf borderId="0" fillId="2" fontId="3" numFmtId="0" xfId="0" applyAlignment="1" applyFont="1">
      <alignment vertical="bottom"/>
    </xf>
    <xf borderId="0" fillId="2" fontId="3" numFmtId="4" xfId="0" applyAlignment="1" applyFont="1" applyNumberFormat="1">
      <alignment vertical="bottom"/>
    </xf>
    <xf borderId="0" fillId="2" fontId="3" numFmtId="4" xfId="0" applyAlignment="1" applyFont="1" applyNumberFormat="1">
      <alignment horizontal="right"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4" numFmtId="164" xfId="0" applyAlignment="1" applyFont="1" applyNumberFormat="1">
      <alignment vertical="bottom"/>
    </xf>
    <xf borderId="0" fillId="8" fontId="4" numFmtId="164" xfId="0" applyAlignment="1" applyFont="1" applyNumberFormat="1">
      <alignment horizontal="right" vertical="bottom"/>
    </xf>
    <xf borderId="0" fillId="3" fontId="3" numFmtId="0" xfId="0" applyAlignment="1" applyFont="1">
      <alignment horizontal="right" vertical="bottom"/>
    </xf>
    <xf borderId="0" fillId="3" fontId="4" numFmtId="4" xfId="0" applyAlignment="1" applyFont="1" applyNumberFormat="1">
      <alignment vertical="bottom"/>
    </xf>
    <xf borderId="0" fillId="3" fontId="3" numFmtId="4" xfId="0" applyAlignment="1" applyFont="1" applyNumberFormat="1">
      <alignment vertical="bottom"/>
    </xf>
    <xf borderId="0" fillId="3" fontId="3" numFmtId="4" xfId="0" applyAlignment="1" applyFont="1" applyNumberFormat="1">
      <alignment horizontal="right" vertical="bottom"/>
    </xf>
    <xf borderId="0" fillId="4" fontId="4" numFmtId="0" xfId="0" applyAlignment="1" applyFont="1">
      <alignment horizontal="right" vertical="bottom"/>
    </xf>
    <xf borderId="0" fillId="8" fontId="4" numFmtId="166" xfId="0" applyAlignment="1" applyFont="1" applyNumberFormat="1">
      <alignment horizontal="right" vertical="bottom"/>
    </xf>
    <xf borderId="0" fillId="3" fontId="5" numFmtId="0" xfId="0" applyAlignment="1" applyFont="1">
      <alignment vertical="bottom"/>
    </xf>
    <xf borderId="0" fillId="8" fontId="4" numFmtId="166" xfId="0" applyAlignment="1" applyFont="1" applyNumberFormat="1">
      <alignment horizontal="right" vertical="bottom"/>
    </xf>
    <xf borderId="0" fillId="4" fontId="4" numFmtId="0" xfId="0" applyAlignment="1" applyFont="1">
      <alignment vertical="bottom"/>
    </xf>
    <xf borderId="0" fillId="4" fontId="4" numFmtId="165" xfId="0" applyAlignment="1" applyFont="1" applyNumberFormat="1">
      <alignment vertical="bottom"/>
    </xf>
    <xf borderId="0" fillId="3" fontId="5" numFmtId="0" xfId="0" applyAlignment="1" applyFont="1">
      <alignment horizontal="right" vertical="bottom"/>
    </xf>
    <xf borderId="0" fillId="4" fontId="4" numFmtId="3" xfId="0" applyAlignment="1" applyFont="1" applyNumberFormat="1">
      <alignment vertical="bottom"/>
    </xf>
    <xf borderId="0" fillId="9" fontId="5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4" xfId="0" applyAlignment="1" applyFont="1" applyNumberFormat="1">
      <alignment vertical="bottom"/>
    </xf>
    <xf borderId="0" fillId="0" fontId="4" numFmtId="4" xfId="0" applyAlignment="1" applyFont="1" applyNumberFormat="1">
      <alignment horizontal="right" vertical="bottom"/>
    </xf>
    <xf borderId="0" fillId="3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4" numFmtId="3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166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0" fontId="6" numFmtId="1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14" xfId="0" applyFont="1" applyNumberFormat="1"/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5">
    <tableStyle count="3" pivot="0" name="Oct-25-style">
      <tableStyleElement dxfId="1" type="headerRow"/>
      <tableStyleElement dxfId="2" type="firstRowStripe"/>
      <tableStyleElement dxfId="3" type="secondRowStripe"/>
    </tableStyle>
    <tableStyle count="3" pivot="0" name="Nov-25-style">
      <tableStyleElement dxfId="1" type="headerRow"/>
      <tableStyleElement dxfId="2" type="firstRowStripe"/>
      <tableStyleElement dxfId="3" type="secondRowStripe"/>
    </tableStyle>
    <tableStyle count="3" pivot="0" name="Nov-25-style 2">
      <tableStyleElement dxfId="1" type="headerRow"/>
      <tableStyleElement dxfId="2" type="firstRowStripe"/>
      <tableStyleElement dxfId="3" type="secondRowStripe"/>
    </tableStyle>
    <tableStyle count="3" pivot="0" name="Nov-25-style 3">
      <tableStyleElement dxfId="1" type="headerRow"/>
      <tableStyleElement dxfId="2" type="firstRowStripe"/>
      <tableStyleElement dxfId="3" type="secondRowStripe"/>
    </tableStyle>
    <tableStyle count="3" pivot="0" name="Nov-25-style 4">
      <tableStyleElement dxfId="1" type="headerRow"/>
      <tableStyleElement dxfId="2" type="firstRowStripe"/>
      <tableStyleElement dxfId="3" type="secondRowStripe"/>
    </tableStyle>
    <tableStyle count="2" pivot="0" name="Nov-25-style 5">
      <tableStyleElement dxfId="3" type="firstRowStripe"/>
      <tableStyleElement dxfId="2" type="secondRowStripe"/>
    </tableStyle>
    <tableStyle count="3" pivot="0" name="Dec-25-style">
      <tableStyleElement dxfId="1" type="headerRow"/>
      <tableStyleElement dxfId="2" type="firstRowStripe"/>
      <tableStyleElement dxfId="3" type="secondRowStripe"/>
    </tableStyle>
    <tableStyle count="3" pivot="0" name="Dec-25-style 2">
      <tableStyleElement dxfId="1" type="headerRow"/>
      <tableStyleElement dxfId="2" type="firstRowStripe"/>
      <tableStyleElement dxfId="3" type="secondRowStripe"/>
    </tableStyle>
    <tableStyle count="3" pivot="0" name="Dec-25-style 3">
      <tableStyleElement dxfId="1" type="headerRow"/>
      <tableStyleElement dxfId="2" type="firstRowStripe"/>
      <tableStyleElement dxfId="3" type="secondRowStripe"/>
    </tableStyle>
    <tableStyle count="3" pivot="0" name="Dec-25-style 4">
      <tableStyleElement dxfId="1" type="headerRow"/>
      <tableStyleElement dxfId="2" type="firstRowStripe"/>
      <tableStyleElement dxfId="3" type="secondRowStripe"/>
    </tableStyle>
    <tableStyle count="3" pivot="0" name="Dec-25-style 5">
      <tableStyleElement dxfId="1" type="headerRow"/>
      <tableStyleElement dxfId="2" type="firstRowStripe"/>
      <tableStyleElement dxfId="3" type="secondRowStripe"/>
    </tableStyle>
    <tableStyle count="3" pivot="0" name="Dec-25-style 6">
      <tableStyleElement dxfId="1" type="headerRow"/>
      <tableStyleElement dxfId="2" type="firstRowStripe"/>
      <tableStyleElement dxfId="3" type="secondRowStripe"/>
    </tableStyle>
    <tableStyle count="3" pivot="0" name="Dec-25-style 7">
      <tableStyleElement dxfId="1" type="headerRow"/>
      <tableStyleElement dxfId="2" type="firstRowStripe"/>
      <tableStyleElement dxfId="3" type="secondRowStripe"/>
    </tableStyle>
    <tableStyle count="2" pivot="0" name="Dec-25-style 8">
      <tableStyleElement dxfId="3" type="firstRowStripe"/>
      <tableStyleElement dxfId="2" type="secondRowStripe"/>
    </tableStyle>
    <tableStyle count="2" pivot="0" name="Dec-25-style 9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S3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Oct-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C4" displayName="Table_2" name="Table_2" id="2">
  <tableColumns count="3">
    <tableColumn name="Column1" id="1"/>
    <tableColumn name="Column2" id="2"/>
    <tableColumn name="Column3" id="3"/>
  </tableColumns>
  <tableStyleInfo name="Nov-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F2:H3" displayName="Table_3" name="Table_3" id="3">
  <tableColumns count="3">
    <tableColumn name="Column1" id="1"/>
    <tableColumn name="Column2" id="2"/>
    <tableColumn name="Column3" id="3"/>
  </tableColumns>
  <tableStyleInfo name="Nov-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F4:G4" displayName="Table_4" name="Table_4" id="4">
  <tableColumns count="2">
    <tableColumn name="Column1" id="1"/>
    <tableColumn name="Column2" id="2"/>
  </tableColumns>
  <tableStyleInfo name="Nov-2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5:S23" displayName="Table_5" name="Table_5" id="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Nov-25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25:R25" displayName="Table_6" name="Table_6" id="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Nov-25-style 5" showColumnStripes="0" showFirstColumn="1" showLastColumn="1" showRowStripes="1"/>
</table>
</file>

<file path=xl/tables/table7.xml><?xml version="1.0" encoding="utf-8"?>
<table xmlns="http://schemas.openxmlformats.org/spreadsheetml/2006/main" headerRowCount="0" ref="F2:H2" displayName="Table_7" name="Table_7" id="7">
  <tableColumns count="3">
    <tableColumn name="Column1" id="1"/>
    <tableColumn name="Column2" id="2"/>
    <tableColumn name="Column3" id="3"/>
  </tableColumns>
  <tableStyleInfo name="Dec-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3:C3" displayName="Table_8" name="Table_8" id="8">
  <tableColumns count="3">
    <tableColumn name="Column1" id="1"/>
    <tableColumn name="Column2" id="2"/>
    <tableColumn name="Column3" id="3"/>
  </tableColumns>
  <tableStyleInfo name="Dec-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F3:G3" displayName="Table_9" name="Table_9" id="9">
  <tableColumns count="2">
    <tableColumn name="Column1" id="1"/>
    <tableColumn name="Column2" id="2"/>
  </tableColumns>
  <tableStyleInfo name="Dec-2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5:S10" displayName="Table_10" name="Table_10" id="1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Dec-25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F18:H19" displayName="Table_11" name="Table_11" id="11">
  <tableColumns count="3">
    <tableColumn name="Column1" id="1"/>
    <tableColumn name="Column2" id="2"/>
    <tableColumn name="Column3" id="3"/>
  </tableColumns>
  <tableStyleInfo name="Dec-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20:C20" displayName="Table_12" name="Table_12" id="12">
  <tableColumns count="3">
    <tableColumn name="Column1" id="1"/>
    <tableColumn name="Column2" id="2"/>
    <tableColumn name="Column3" id="3"/>
  </tableColumns>
  <tableStyleInfo name="Dec-25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F20:G20" displayName="Table_13" name="Table_13" id="13">
  <tableColumns count="2">
    <tableColumn name="Column1" id="1"/>
    <tableColumn name="Column2" id="2"/>
  </tableColumns>
  <tableStyleInfo name="Dec-25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21:S21" displayName="Table_14" name="Table_14" id="1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Dec-25-style 8" showColumnStripes="0" showFirstColumn="1" showLastColumn="1" showRowStripes="1"/>
</table>
</file>

<file path=xl/tables/table15.xml><?xml version="1.0" encoding="utf-8"?>
<table xmlns="http://schemas.openxmlformats.org/spreadsheetml/2006/main" headerRowCount="0" ref="A22:S22" displayName="Table_15" name="Table_15" id="1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Dec-25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9" Type="http://schemas.openxmlformats.org/officeDocument/2006/relationships/table" Target="../tables/table4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7.xml"/><Relationship Id="rId13" Type="http://schemas.openxmlformats.org/officeDocument/2006/relationships/table" Target="../tables/table9.xml"/><Relationship Id="rId12" Type="http://schemas.openxmlformats.org/officeDocument/2006/relationships/table" Target="../tables/table8.xml"/><Relationship Id="rId15" Type="http://schemas.openxmlformats.org/officeDocument/2006/relationships/table" Target="../tables/table11.xml"/><Relationship Id="rId14" Type="http://schemas.openxmlformats.org/officeDocument/2006/relationships/table" Target="../tables/table10.xml"/><Relationship Id="rId17" Type="http://schemas.openxmlformats.org/officeDocument/2006/relationships/table" Target="../tables/table13.xml"/><Relationship Id="rId16" Type="http://schemas.openxmlformats.org/officeDocument/2006/relationships/table" Target="../tables/table12.xml"/><Relationship Id="rId19" Type="http://schemas.openxmlformats.org/officeDocument/2006/relationships/table" Target="../tables/table15.xml"/><Relationship Id="rId18" Type="http://schemas.openxmlformats.org/officeDocument/2006/relationships/table" Target="../tables/table1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2</v>
      </c>
      <c r="B3" s="4">
        <v>3.0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3</v>
      </c>
      <c r="B4" s="3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5</v>
      </c>
      <c r="B5" s="5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</v>
      </c>
      <c r="B1" s="7" t="s">
        <v>8</v>
      </c>
      <c r="C1" s="7" t="s">
        <v>9</v>
      </c>
      <c r="D1" s="7" t="s">
        <v>10</v>
      </c>
      <c r="E1" s="8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P1" s="7" t="s">
        <v>22</v>
      </c>
      <c r="Q1" s="9" t="s">
        <v>23</v>
      </c>
      <c r="R1" s="7" t="s">
        <v>24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0"/>
      <c r="B2" s="10"/>
      <c r="C2" s="10"/>
      <c r="D2" s="10"/>
      <c r="E2" s="11"/>
      <c r="F2" s="10"/>
      <c r="G2" s="10"/>
      <c r="H2" s="10"/>
      <c r="I2" s="10"/>
      <c r="J2" s="10"/>
      <c r="K2" s="12"/>
      <c r="L2" s="10"/>
      <c r="M2" s="10"/>
      <c r="N2" s="10"/>
      <c r="O2" s="10"/>
      <c r="P2" s="10"/>
      <c r="Q2" s="13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4" t="s">
        <v>25</v>
      </c>
      <c r="B3" s="15" t="s">
        <v>26</v>
      </c>
      <c r="C3" s="16">
        <v>3.1297447834E10</v>
      </c>
      <c r="D3" s="16" t="s">
        <v>27</v>
      </c>
      <c r="E3" s="17">
        <v>31491.0</v>
      </c>
      <c r="F3" s="18">
        <v>21.0</v>
      </c>
      <c r="G3" s="18">
        <v>21.0</v>
      </c>
      <c r="H3" s="18">
        <v>14140.0</v>
      </c>
      <c r="I3" s="18">
        <f>IF(OR(ISBLANK(F3), ISBLANK(G3), ISBLANK(H3)), "", ROUNDUP((F3/G3)*H3,0))
</f>
        <v>14140</v>
      </c>
      <c r="J3" s="19"/>
      <c r="K3" s="20">
        <f>SUM(I3,J3)</f>
        <v>14140</v>
      </c>
      <c r="L3" s="21"/>
      <c r="M3" s="22">
        <v>2879.0</v>
      </c>
      <c r="N3" s="23">
        <v>1.0</v>
      </c>
      <c r="O3" s="24">
        <f>IF(N3 &gt; 0, K3 / (N3 * 100), 0)
</f>
        <v>141.4</v>
      </c>
      <c r="P3" s="24">
        <f>IF(MINUS(K3, O3) = 0, "", MINUS(K3, O3))</f>
        <v>13998.6</v>
      </c>
      <c r="Q3" s="25">
        <f>IF(SUM(R3,O3*-1, L3*-1) = 0, "", ROUNDUP(SUM(R3, O3*-1, L3*-1),0))</f>
        <v>16878</v>
      </c>
      <c r="R3" s="22">
        <f>IF(SUM(K3, M3) = 0, "", ROUNDUP(SUM(K3, M3),0))</f>
        <v>17019</v>
      </c>
      <c r="S3" s="19" t="s">
        <v>28</v>
      </c>
      <c r="T3" s="10"/>
      <c r="U3" s="10"/>
      <c r="V3" s="10"/>
      <c r="W3" s="10"/>
      <c r="X3" s="10"/>
      <c r="Y3" s="10"/>
      <c r="Z3" s="10"/>
      <c r="AA3" s="10"/>
    </row>
    <row r="4">
      <c r="A4" s="7" t="s">
        <v>29</v>
      </c>
      <c r="B4" s="10"/>
      <c r="C4" s="10"/>
      <c r="D4" s="10"/>
      <c r="E4" s="11"/>
      <c r="F4" s="26">
        <f t="shared" ref="F4:R4" si="1">SUM(F3)</f>
        <v>21</v>
      </c>
      <c r="G4" s="26">
        <f t="shared" si="1"/>
        <v>21</v>
      </c>
      <c r="H4" s="26">
        <f t="shared" si="1"/>
        <v>14140</v>
      </c>
      <c r="I4" s="26">
        <f t="shared" si="1"/>
        <v>14140</v>
      </c>
      <c r="J4" s="26">
        <f t="shared" si="1"/>
        <v>0</v>
      </c>
      <c r="K4" s="27">
        <f t="shared" si="1"/>
        <v>14140</v>
      </c>
      <c r="L4" s="27">
        <f t="shared" si="1"/>
        <v>0</v>
      </c>
      <c r="M4" s="26">
        <f t="shared" si="1"/>
        <v>2879</v>
      </c>
      <c r="N4" s="27">
        <f t="shared" si="1"/>
        <v>1</v>
      </c>
      <c r="O4" s="27">
        <f t="shared" si="1"/>
        <v>141.4</v>
      </c>
      <c r="P4" s="27">
        <f t="shared" si="1"/>
        <v>13998.6</v>
      </c>
      <c r="Q4" s="27">
        <f t="shared" si="1"/>
        <v>16878</v>
      </c>
      <c r="R4" s="26">
        <f t="shared" si="1"/>
        <v>17019</v>
      </c>
      <c r="S4" s="10"/>
      <c r="T4" s="10"/>
      <c r="U4" s="10"/>
      <c r="V4" s="10"/>
      <c r="W4" s="10"/>
      <c r="X4" s="10"/>
      <c r="Y4" s="10"/>
      <c r="Z4" s="10"/>
      <c r="AA4" s="10"/>
    </row>
    <row r="5">
      <c r="A5" s="10"/>
      <c r="B5" s="10"/>
      <c r="C5" s="10"/>
      <c r="D5" s="10"/>
      <c r="E5" s="1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28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0"/>
      <c r="B6" s="10"/>
      <c r="C6" s="10"/>
      <c r="D6" s="10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28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0"/>
      <c r="B7" s="10"/>
      <c r="C7" s="10"/>
      <c r="D7" s="10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28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0"/>
      <c r="B8" s="10"/>
      <c r="C8" s="10"/>
      <c r="D8" s="10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28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0"/>
      <c r="B9" s="10"/>
      <c r="C9" s="10"/>
      <c r="D9" s="10"/>
      <c r="E9" s="1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28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10"/>
      <c r="C10" s="10"/>
      <c r="D10" s="10"/>
      <c r="E10" s="11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28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10"/>
      <c r="C11" s="10"/>
      <c r="D11" s="10"/>
      <c r="E11" s="1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8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10"/>
      <c r="C12" s="10"/>
      <c r="D12" s="10"/>
      <c r="E12" s="1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8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10"/>
      <c r="C13" s="10"/>
      <c r="D13" s="10"/>
      <c r="E13" s="1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8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10"/>
      <c r="C14" s="10"/>
      <c r="D14" s="10"/>
      <c r="E14" s="11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28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10"/>
      <c r="C15" s="10"/>
      <c r="D15" s="10"/>
      <c r="E15" s="11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28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10"/>
      <c r="C16" s="10"/>
      <c r="D16" s="10"/>
      <c r="E16" s="11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28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10"/>
      <c r="C17" s="10"/>
      <c r="D17" s="10"/>
      <c r="E17" s="1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28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/>
      <c r="D18" s="10"/>
      <c r="E18" s="1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28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0"/>
      <c r="C19" s="10"/>
      <c r="D19" s="10"/>
      <c r="E19" s="11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28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0"/>
      <c r="C20" s="10"/>
      <c r="D20" s="10"/>
      <c r="E20" s="11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28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0"/>
      <c r="C21" s="10"/>
      <c r="D21" s="10"/>
      <c r="E21" s="11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28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28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0"/>
      <c r="C23" s="10"/>
      <c r="D23" s="10"/>
      <c r="E23" s="1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28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0"/>
      <c r="D24" s="10"/>
      <c r="E24" s="11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28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/>
      <c r="D25" s="10"/>
      <c r="E25" s="11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28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/>
      <c r="D26" s="10"/>
      <c r="E26" s="11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28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11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28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1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28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28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1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28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1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28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1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28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1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28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1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28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1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28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1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28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1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28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1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28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1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28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28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1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28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1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28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28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28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28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28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1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28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28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1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28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1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28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1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28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1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28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1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28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1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28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1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28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1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28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1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28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1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28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1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28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1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28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1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28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1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28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1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28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1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28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1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28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1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28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1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28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1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28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1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28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1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28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1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8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1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28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1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28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1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28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1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28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1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28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1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28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1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28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1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28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1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28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1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28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1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28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1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28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1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28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1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28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1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28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1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28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1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28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1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28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1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28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1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28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1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28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1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28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1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28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1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28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1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28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1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28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1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28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1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28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1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28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1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28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1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28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1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28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1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28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1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28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1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28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1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28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1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28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1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28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1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28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1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28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1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28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1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28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1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28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1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28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1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28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1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28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1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28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1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28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1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28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1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28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1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28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1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28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1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28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1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28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1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28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1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28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1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28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1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28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1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28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1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28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1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28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1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28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1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28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1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28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1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28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1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28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1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28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1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28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1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28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1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28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1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28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1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28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1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28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1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28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1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28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1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28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1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28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1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28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1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28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1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28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1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28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1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28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1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28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1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28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1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28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1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28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1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28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1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28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1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28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1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28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1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28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1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28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1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28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1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28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1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28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1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28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1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28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1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28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1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28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1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28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1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28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1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28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1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28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1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28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1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28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1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28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1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28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1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28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1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28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1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28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1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28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1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28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1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28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1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28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1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28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1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28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1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28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1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28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1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28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1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28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1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28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1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28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1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28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1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28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1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28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1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28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1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28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1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28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1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28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1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28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1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28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1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28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1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28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1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28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1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28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1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28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1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28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1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28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1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28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1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28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1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28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1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28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1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28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1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28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1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28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1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28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1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28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1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28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1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28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1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28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1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28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1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28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1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28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1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28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1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28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1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28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1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28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1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28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1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28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1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28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1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28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1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28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1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28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1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28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1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28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1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28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1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28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1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28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1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28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1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28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1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28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1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28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1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28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1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28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1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28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1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28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1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28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1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28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1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28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1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28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1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28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1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28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1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28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1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28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1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28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1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28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1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28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1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28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1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28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1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28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1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28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1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28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1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28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1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28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1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28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1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28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1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28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1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28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1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28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1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28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1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28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1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28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1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28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1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28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1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28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1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28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1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28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1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28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1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28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1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28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1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28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1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28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1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28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1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28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1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28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1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28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1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28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1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28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1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28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1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28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1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28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1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28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1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28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1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28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1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28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1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28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1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28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1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28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1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28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1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28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1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28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1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28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1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28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1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28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1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28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1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28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1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28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1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28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1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28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1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28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1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28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1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28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1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28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1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28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1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28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1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28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1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28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1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28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1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28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1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28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1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28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1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28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1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28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1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28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1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28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1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28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1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28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1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28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1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28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1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28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1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28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1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28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1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28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1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28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1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28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1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28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1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28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1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28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1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28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1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28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1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28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1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28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1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28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1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28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1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28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1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28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1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28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1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28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1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28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1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28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1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28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1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28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1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28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1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28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1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28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1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28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1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28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1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28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1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28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1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28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1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28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1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28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1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28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1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28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1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28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1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28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1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28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1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28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1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28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1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28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1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28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1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28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1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28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1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28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1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28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1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28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1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28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1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28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1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28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1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28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1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28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1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28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1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28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1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28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1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28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1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28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1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28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1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28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1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28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1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28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1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28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1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28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1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28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1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28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1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28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1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28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1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28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1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28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1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28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1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28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1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28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1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28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1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28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1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28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1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28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1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28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1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28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1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28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1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28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1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28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1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28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1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28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1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28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1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28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1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28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1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28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1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28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1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28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1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28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1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28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1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28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1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28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1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28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1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28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1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28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1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28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1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28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1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28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1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28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1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28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1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28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1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28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1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28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1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28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1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28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1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28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1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28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1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28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1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28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1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28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1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28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1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28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1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28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1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28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1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28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1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28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1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28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1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28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1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28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1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28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1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28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1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28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1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28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1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28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1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28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1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28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1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28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1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28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1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28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1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28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1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28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1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28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1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28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1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28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1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28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1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28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1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28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1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28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1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28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1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28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1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28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1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28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1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28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1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28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1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28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1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28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1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28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1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28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1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28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1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28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1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28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1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28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1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28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1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28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1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28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1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28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1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28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1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28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1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28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1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28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1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28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1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28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1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28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1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28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1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28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1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28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1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28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1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28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1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28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1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28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1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28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1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28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1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28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1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28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1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28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1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28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1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28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1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28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1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28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1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28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1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28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1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28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1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28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1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28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1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28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1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28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1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28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1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28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1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28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1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28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1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28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1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28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1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28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1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28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1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28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1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28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1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28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1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28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1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28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1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28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1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28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1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28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1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28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1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28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1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28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1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28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1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28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1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28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1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28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1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28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1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28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1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28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1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28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1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28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1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28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1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28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1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28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1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28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1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28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1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28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1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28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1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28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1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28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1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28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1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28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1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28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1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28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1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28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1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28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1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28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1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28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1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28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1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28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1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28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1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28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1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28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1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28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1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28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1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28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1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28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1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28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1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28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1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28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1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28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1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28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1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28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1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28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1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28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1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28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1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28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1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28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1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28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1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28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1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28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1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28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1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28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1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28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1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28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1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28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1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28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1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28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1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28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1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28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1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28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1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28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1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28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1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28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1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28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1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28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1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28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1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28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1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28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1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28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1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28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1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28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1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28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1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28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1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28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1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28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1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28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1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28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1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28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1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28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1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28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1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28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1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28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1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28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1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28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1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28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1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28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1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28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1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28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1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28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1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28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1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28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1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28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1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28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1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28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1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28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1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28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1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28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1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28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1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28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1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28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1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28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1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28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1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28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1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28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1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28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1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28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1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28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1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28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1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28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1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28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1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28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1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28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1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28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1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28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1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28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1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28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1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28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1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28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1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28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1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28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1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28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1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28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1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28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1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28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1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28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1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28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1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28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1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28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1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28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1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28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1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28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1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28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1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28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1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28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1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28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1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28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1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28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1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28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1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28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1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28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1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28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1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28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1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28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1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28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1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28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1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28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1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28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1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28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1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28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1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28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1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28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1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28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1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28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1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28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1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28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1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28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1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28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1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28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1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28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1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28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1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28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1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28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1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28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1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28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1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28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1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28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1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28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1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28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1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28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1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28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1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28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1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28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1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28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1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28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1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28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1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28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1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28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1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28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1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28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1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28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1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28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1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28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1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28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1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28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1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28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1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28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1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28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1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28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1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28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1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28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1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28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1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28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1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28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1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28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1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28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1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28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1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28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1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28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1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28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1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28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1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28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1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28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1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28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1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28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1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28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1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28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1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28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1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28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1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28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1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28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1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28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1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28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1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28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1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28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1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28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1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28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1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28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1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28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1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28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1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28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1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28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1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28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1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28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1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28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1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28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1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28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1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28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1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28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1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28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1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28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1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28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1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28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1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28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1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28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1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28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1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28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1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28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1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28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1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28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1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28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1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28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1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28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1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28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1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28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1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28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1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28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1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28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1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28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1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28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1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28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1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28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1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28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1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28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1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28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1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28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1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28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1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28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1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28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1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28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1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28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1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28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1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28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1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28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1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28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1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28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1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28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1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28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1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28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1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28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1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28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1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28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1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28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1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28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1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28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1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28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1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28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1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28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1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28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1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28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1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28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1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28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1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28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1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28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1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28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1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28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1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28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1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28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1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28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1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28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1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28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1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28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1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28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1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28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1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28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1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28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1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28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1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28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1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28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1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28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1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28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1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28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1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28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1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28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1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28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1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28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1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28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1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28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1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28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1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28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1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28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1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28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1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28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1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28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1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28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1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28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1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28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1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28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1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28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1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28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1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28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1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28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1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28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1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28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1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28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1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28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1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28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1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28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1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28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1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28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1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28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1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28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1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28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1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28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1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28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1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28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1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28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1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28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1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28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1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28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1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28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1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28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1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28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1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28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1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28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1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28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1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28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1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28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1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28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1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28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1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28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1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28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1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28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1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28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1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28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1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28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1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28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1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28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1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28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1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28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1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28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1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28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1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28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1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28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1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28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1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28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1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28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1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28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1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28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1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28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1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28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1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28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1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28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1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28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1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28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1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28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1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28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1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28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1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28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1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28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1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28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1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28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1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28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1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28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1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28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1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28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1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28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1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28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1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28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1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28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1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28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1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28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1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28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1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28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1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28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1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28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1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28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1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28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1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28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1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28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1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28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1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28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1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28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1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28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1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28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1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28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1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28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1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28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1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28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1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28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1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28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1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28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1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28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1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28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1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28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1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28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1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28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1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28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1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28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1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28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1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28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1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28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1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28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1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28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1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28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1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28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1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28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1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28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1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28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1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28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1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28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1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28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1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28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1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28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1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28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1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28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1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28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1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28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1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28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1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28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1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28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1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28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1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28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1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28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</v>
      </c>
      <c r="B1" s="7" t="s">
        <v>30</v>
      </c>
      <c r="C1" s="7" t="s">
        <v>8</v>
      </c>
      <c r="D1" s="7" t="s">
        <v>9</v>
      </c>
      <c r="E1" s="8" t="s">
        <v>10</v>
      </c>
      <c r="F1" s="8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  <c r="R1" s="9" t="s">
        <v>23</v>
      </c>
      <c r="S1" s="7" t="s">
        <v>24</v>
      </c>
      <c r="T1" s="10"/>
      <c r="U1" s="10"/>
      <c r="V1" s="10"/>
      <c r="W1" s="10"/>
      <c r="X1" s="10"/>
      <c r="Y1" s="10"/>
      <c r="Z1" s="10"/>
      <c r="AA1" s="10"/>
      <c r="AB1" s="10"/>
    </row>
    <row r="2">
      <c r="A2" s="29" t="s">
        <v>31</v>
      </c>
      <c r="B2" s="29"/>
      <c r="C2" s="29" t="s">
        <v>32</v>
      </c>
      <c r="D2" s="29"/>
      <c r="E2" s="30"/>
      <c r="F2" s="31">
        <v>36887.0</v>
      </c>
      <c r="G2" s="32">
        <v>25.0</v>
      </c>
      <c r="H2" s="32">
        <v>25.0</v>
      </c>
      <c r="I2" s="32">
        <v>20000.0</v>
      </c>
      <c r="J2" s="33">
        <f t="shared" ref="J2:J3" si="1">IF(OR(ISBLANK(G2), ISBLANK(H2), ISBLANK(I2)), "", ROUNDUP((G2/H2)*I2,0))
</f>
        <v>20000</v>
      </c>
      <c r="K2" s="34"/>
      <c r="L2" s="35">
        <f t="shared" ref="L2:L3" si="2">SUM(J2,K2)</f>
        <v>20000</v>
      </c>
      <c r="M2" s="29"/>
      <c r="N2" s="34"/>
      <c r="O2" s="35">
        <v>1.0</v>
      </c>
      <c r="P2" s="35">
        <f t="shared" ref="P2:P3" si="3">IF(O2 &gt; 0, L2 / (O2 * 100), 0)
</f>
        <v>200</v>
      </c>
      <c r="Q2" s="35">
        <f t="shared" ref="Q2:Q3" si="4">IF(MINUS(L2, P2) = 0, "", MINUS(L2, P2))</f>
        <v>19800</v>
      </c>
      <c r="R2" s="35">
        <f t="shared" ref="R2:R3" si="5">IF(SUM(S2,P2*-1, M2*-1) = 0, "", ROUNDUP(SUM(S2, P2*-1, M2*-1),0))</f>
        <v>19800</v>
      </c>
      <c r="S2" s="32">
        <f t="shared" ref="S2:S3" si="6">IF(SUM(L2, N2) = 0, "", ROUNDUP(SUM(L2, N2),0))</f>
        <v>20000</v>
      </c>
      <c r="T2" s="29"/>
      <c r="U2" s="10"/>
      <c r="V2" s="10"/>
      <c r="W2" s="10"/>
      <c r="X2" s="10"/>
      <c r="Y2" s="10"/>
      <c r="Z2" s="10"/>
      <c r="AA2" s="10"/>
      <c r="AB2" s="10"/>
    </row>
    <row r="3">
      <c r="A3" s="36" t="s">
        <v>33</v>
      </c>
      <c r="B3" s="36"/>
      <c r="C3" s="36" t="s">
        <v>34</v>
      </c>
      <c r="D3" s="36"/>
      <c r="E3" s="37"/>
      <c r="F3" s="31">
        <v>35621.0</v>
      </c>
      <c r="G3" s="38">
        <v>25.0</v>
      </c>
      <c r="H3" s="38">
        <v>25.0</v>
      </c>
      <c r="I3" s="38">
        <v>20000.0</v>
      </c>
      <c r="J3" s="38">
        <f t="shared" si="1"/>
        <v>20000</v>
      </c>
      <c r="K3" s="39"/>
      <c r="L3" s="40">
        <f t="shared" si="2"/>
        <v>20000</v>
      </c>
      <c r="M3" s="39"/>
      <c r="N3" s="41"/>
      <c r="O3" s="40">
        <v>1.0</v>
      </c>
      <c r="P3" s="40">
        <f t="shared" si="3"/>
        <v>200</v>
      </c>
      <c r="Q3" s="40">
        <f t="shared" si="4"/>
        <v>19800</v>
      </c>
      <c r="R3" s="40">
        <f t="shared" si="5"/>
        <v>19800</v>
      </c>
      <c r="S3" s="38">
        <f t="shared" si="6"/>
        <v>20000</v>
      </c>
      <c r="T3" s="36"/>
      <c r="U3" s="10"/>
      <c r="V3" s="10"/>
      <c r="W3" s="10"/>
      <c r="X3" s="10"/>
      <c r="Y3" s="10"/>
      <c r="Z3" s="10"/>
      <c r="AA3" s="10"/>
      <c r="AB3" s="10"/>
    </row>
    <row r="4">
      <c r="A4" s="10"/>
      <c r="B4" s="10"/>
      <c r="C4" s="10"/>
      <c r="D4" s="10"/>
      <c r="E4" s="11"/>
      <c r="F4" s="11"/>
      <c r="G4" s="42">
        <v>25.0</v>
      </c>
      <c r="H4" s="42">
        <v>25.0</v>
      </c>
      <c r="I4" s="42">
        <v>20000.0</v>
      </c>
      <c r="J4" s="10"/>
      <c r="K4" s="12"/>
      <c r="L4" s="12"/>
      <c r="M4" s="10"/>
      <c r="N4" s="12"/>
      <c r="O4" s="12"/>
      <c r="P4" s="12"/>
      <c r="Q4" s="12"/>
      <c r="R4" s="13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43" t="s">
        <v>35</v>
      </c>
      <c r="B5" s="29"/>
      <c r="C5" s="43" t="s">
        <v>36</v>
      </c>
      <c r="D5" s="29"/>
      <c r="E5" s="30"/>
      <c r="F5" s="31">
        <v>36887.0</v>
      </c>
      <c r="G5" s="32">
        <v>25.0</v>
      </c>
      <c r="H5" s="32">
        <v>25.0</v>
      </c>
      <c r="I5" s="32">
        <v>20000.0</v>
      </c>
      <c r="J5" s="33">
        <f t="shared" ref="J5:J12" si="7">IF(OR(ISBLANK(G5), ISBLANK(H5), ISBLANK(I5)), "", ROUNDUP((G5/H5)*I5,0))
</f>
        <v>20000</v>
      </c>
      <c r="K5" s="34"/>
      <c r="L5" s="44">
        <f t="shared" ref="L5:L12" si="8">SUM(J5,K5)</f>
        <v>20000</v>
      </c>
      <c r="M5" s="29"/>
      <c r="N5" s="34"/>
      <c r="O5" s="45">
        <v>1.0</v>
      </c>
      <c r="P5" s="45">
        <f t="shared" ref="P5:P12" si="9">IF(O5 &gt; 0, L5 / (O5 * 100), 0)
</f>
        <v>200</v>
      </c>
      <c r="Q5" s="45">
        <f t="shared" ref="Q5:Q12" si="10">IF(MINUS(L5, P5) = 0, "", MINUS(L5, P5))</f>
        <v>19800</v>
      </c>
      <c r="R5" s="45">
        <f t="shared" ref="R5:R13" si="11">IF(SUM(S5,P5*-1, M5*-1) = 0, "", ROUNDUP(SUM(S5, P5*-1, M5*-1),0))</f>
        <v>19800</v>
      </c>
      <c r="S5" s="32">
        <f t="shared" ref="S5:S12" si="12">IF(SUM(L5, N5) = 0, "", ROUNDUP(SUM(L5, N5),0))</f>
        <v>20000</v>
      </c>
      <c r="T5" s="29"/>
      <c r="U5" s="10"/>
      <c r="V5" s="10"/>
      <c r="W5" s="10"/>
      <c r="X5" s="10"/>
      <c r="Y5" s="10"/>
      <c r="Z5" s="10"/>
      <c r="AA5" s="10"/>
      <c r="AB5" s="10"/>
    </row>
    <row r="6">
      <c r="A6" s="46" t="s">
        <v>37</v>
      </c>
      <c r="B6" s="29"/>
      <c r="C6" s="46" t="s">
        <v>38</v>
      </c>
      <c r="D6" s="29"/>
      <c r="E6" s="30"/>
      <c r="F6" s="31">
        <v>36653.0</v>
      </c>
      <c r="G6" s="32">
        <v>25.0</v>
      </c>
      <c r="H6" s="32">
        <v>25.0</v>
      </c>
      <c r="I6" s="32">
        <v>20000.0</v>
      </c>
      <c r="J6" s="33">
        <f t="shared" si="7"/>
        <v>20000</v>
      </c>
      <c r="K6" s="34"/>
      <c r="L6" s="44">
        <f t="shared" si="8"/>
        <v>20000</v>
      </c>
      <c r="M6" s="29"/>
      <c r="N6" s="34"/>
      <c r="O6" s="45">
        <v>1.0</v>
      </c>
      <c r="P6" s="45">
        <f t="shared" si="9"/>
        <v>200</v>
      </c>
      <c r="Q6" s="45">
        <f t="shared" si="10"/>
        <v>19800</v>
      </c>
      <c r="R6" s="45">
        <f t="shared" si="11"/>
        <v>19800</v>
      </c>
      <c r="S6" s="32">
        <f t="shared" si="12"/>
        <v>20000</v>
      </c>
      <c r="T6" s="29"/>
      <c r="U6" s="10"/>
      <c r="V6" s="10"/>
      <c r="W6" s="10"/>
      <c r="X6" s="10"/>
      <c r="Y6" s="10"/>
      <c r="Z6" s="10"/>
      <c r="AA6" s="10"/>
      <c r="AB6" s="10"/>
    </row>
    <row r="7">
      <c r="A7" s="47" t="s">
        <v>39</v>
      </c>
      <c r="B7" s="47"/>
      <c r="C7" s="47" t="s">
        <v>40</v>
      </c>
      <c r="D7" s="48"/>
      <c r="E7" s="49"/>
      <c r="F7" s="50">
        <v>36063.0</v>
      </c>
      <c r="G7" s="42">
        <v>25.0</v>
      </c>
      <c r="H7" s="42">
        <v>25.0</v>
      </c>
      <c r="I7" s="42">
        <v>20000.0</v>
      </c>
      <c r="J7" s="51">
        <f t="shared" si="7"/>
        <v>20000</v>
      </c>
      <c r="K7" s="52"/>
      <c r="L7" s="53">
        <f t="shared" si="8"/>
        <v>20000</v>
      </c>
      <c r="M7" s="52"/>
      <c r="N7" s="52"/>
      <c r="O7" s="54">
        <v>1.0</v>
      </c>
      <c r="P7" s="54">
        <f t="shared" si="9"/>
        <v>200</v>
      </c>
      <c r="Q7" s="54">
        <f t="shared" si="10"/>
        <v>19800</v>
      </c>
      <c r="R7" s="27">
        <f t="shared" si="11"/>
        <v>19800</v>
      </c>
      <c r="S7" s="55">
        <f t="shared" si="12"/>
        <v>20000</v>
      </c>
      <c r="T7" s="10"/>
      <c r="U7" s="10"/>
      <c r="V7" s="10"/>
      <c r="W7" s="10"/>
      <c r="X7" s="10"/>
      <c r="Y7" s="10"/>
      <c r="Z7" s="10"/>
      <c r="AA7" s="10"/>
      <c r="AB7" s="10"/>
    </row>
    <row r="8">
      <c r="A8" s="48" t="s">
        <v>41</v>
      </c>
      <c r="B8" s="47"/>
      <c r="C8" s="47" t="s">
        <v>42</v>
      </c>
      <c r="D8" s="48"/>
      <c r="E8" s="49"/>
      <c r="F8" s="50">
        <v>36381.0</v>
      </c>
      <c r="G8" s="42">
        <v>25.0</v>
      </c>
      <c r="H8" s="42">
        <v>25.0</v>
      </c>
      <c r="I8" s="42">
        <v>20000.0</v>
      </c>
      <c r="J8" s="51">
        <f t="shared" si="7"/>
        <v>20000</v>
      </c>
      <c r="K8" s="52"/>
      <c r="L8" s="53">
        <f t="shared" si="8"/>
        <v>20000</v>
      </c>
      <c r="M8" s="52"/>
      <c r="N8" s="52"/>
      <c r="O8" s="54">
        <v>1.0</v>
      </c>
      <c r="P8" s="54">
        <f t="shared" si="9"/>
        <v>200</v>
      </c>
      <c r="Q8" s="54">
        <f t="shared" si="10"/>
        <v>19800</v>
      </c>
      <c r="R8" s="27">
        <f t="shared" si="11"/>
        <v>19800</v>
      </c>
      <c r="S8" s="55">
        <f t="shared" si="12"/>
        <v>20000</v>
      </c>
      <c r="T8" s="10"/>
      <c r="U8" s="10"/>
      <c r="V8" s="10"/>
      <c r="W8" s="10"/>
      <c r="X8" s="10"/>
      <c r="Y8" s="10"/>
      <c r="Z8" s="10"/>
      <c r="AA8" s="10"/>
      <c r="AB8" s="10"/>
    </row>
    <row r="9">
      <c r="A9" s="29" t="s">
        <v>43</v>
      </c>
      <c r="B9" s="47"/>
      <c r="C9" s="47" t="s">
        <v>44</v>
      </c>
      <c r="D9" s="48"/>
      <c r="E9" s="49"/>
      <c r="F9" s="56">
        <v>36372.0</v>
      </c>
      <c r="G9" s="42">
        <v>25.0</v>
      </c>
      <c r="H9" s="42">
        <v>25.0</v>
      </c>
      <c r="I9" s="42">
        <v>20000.0</v>
      </c>
      <c r="J9" s="51">
        <f t="shared" si="7"/>
        <v>20000</v>
      </c>
      <c r="K9" s="52"/>
      <c r="L9" s="53">
        <f t="shared" si="8"/>
        <v>20000</v>
      </c>
      <c r="M9" s="52"/>
      <c r="N9" s="52"/>
      <c r="O9" s="54">
        <v>1.0</v>
      </c>
      <c r="P9" s="54">
        <f t="shared" si="9"/>
        <v>200</v>
      </c>
      <c r="Q9" s="54">
        <f t="shared" si="10"/>
        <v>19800</v>
      </c>
      <c r="R9" s="27">
        <f t="shared" si="11"/>
        <v>19800</v>
      </c>
      <c r="S9" s="55">
        <f t="shared" si="12"/>
        <v>20000</v>
      </c>
      <c r="T9" s="10"/>
      <c r="U9" s="10"/>
      <c r="V9" s="10"/>
      <c r="W9" s="10"/>
      <c r="X9" s="10"/>
      <c r="Y9" s="10"/>
      <c r="Z9" s="10"/>
      <c r="AA9" s="10"/>
      <c r="AB9" s="10"/>
    </row>
    <row r="10">
      <c r="A10" s="47" t="s">
        <v>45</v>
      </c>
      <c r="B10" s="47"/>
      <c r="C10" s="47" t="s">
        <v>46</v>
      </c>
      <c r="D10" s="47"/>
      <c r="E10" s="49"/>
      <c r="F10" s="50">
        <v>36628.0</v>
      </c>
      <c r="G10" s="42">
        <v>25.0</v>
      </c>
      <c r="H10" s="42">
        <v>25.0</v>
      </c>
      <c r="I10" s="42">
        <v>20000.0</v>
      </c>
      <c r="J10" s="51">
        <f t="shared" si="7"/>
        <v>20000</v>
      </c>
      <c r="K10" s="52"/>
      <c r="L10" s="53">
        <f t="shared" si="8"/>
        <v>20000</v>
      </c>
      <c r="M10" s="52"/>
      <c r="N10" s="52"/>
      <c r="O10" s="54">
        <v>1.0</v>
      </c>
      <c r="P10" s="54">
        <f t="shared" si="9"/>
        <v>200</v>
      </c>
      <c r="Q10" s="54">
        <f t="shared" si="10"/>
        <v>19800</v>
      </c>
      <c r="R10" s="27">
        <f t="shared" si="11"/>
        <v>19800</v>
      </c>
      <c r="S10" s="55">
        <f t="shared" si="12"/>
        <v>20000</v>
      </c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57" t="s">
        <v>47</v>
      </c>
      <c r="B11" s="47"/>
      <c r="C11" s="47" t="s">
        <v>48</v>
      </c>
      <c r="D11" s="47"/>
      <c r="E11" s="49"/>
      <c r="F11" s="58">
        <v>36803.0</v>
      </c>
      <c r="G11" s="42">
        <v>25.0</v>
      </c>
      <c r="H11" s="42">
        <v>25.0</v>
      </c>
      <c r="I11" s="42">
        <v>20000.0</v>
      </c>
      <c r="J11" s="51">
        <f t="shared" si="7"/>
        <v>20000</v>
      </c>
      <c r="K11" s="52"/>
      <c r="L11" s="53">
        <f t="shared" si="8"/>
        <v>20000</v>
      </c>
      <c r="M11" s="52"/>
      <c r="N11" s="52"/>
      <c r="O11" s="54">
        <v>1.0</v>
      </c>
      <c r="P11" s="54">
        <f t="shared" si="9"/>
        <v>200</v>
      </c>
      <c r="Q11" s="54">
        <f t="shared" si="10"/>
        <v>19800</v>
      </c>
      <c r="R11" s="27">
        <f t="shared" si="11"/>
        <v>19800</v>
      </c>
      <c r="S11" s="55">
        <f t="shared" si="12"/>
        <v>20000</v>
      </c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48" t="s">
        <v>49</v>
      </c>
      <c r="B12" s="47"/>
      <c r="C12" s="48" t="s">
        <v>50</v>
      </c>
      <c r="D12" s="47"/>
      <c r="E12" s="49"/>
      <c r="F12" s="58">
        <v>35144.0</v>
      </c>
      <c r="G12" s="42">
        <v>25.0</v>
      </c>
      <c r="H12" s="42">
        <v>25.0</v>
      </c>
      <c r="I12" s="42">
        <v>20000.0</v>
      </c>
      <c r="J12" s="51">
        <f t="shared" si="7"/>
        <v>20000</v>
      </c>
      <c r="K12" s="52"/>
      <c r="L12" s="53">
        <f t="shared" si="8"/>
        <v>20000</v>
      </c>
      <c r="M12" s="52"/>
      <c r="N12" s="52"/>
      <c r="O12" s="54">
        <v>1.0</v>
      </c>
      <c r="P12" s="54">
        <f t="shared" si="9"/>
        <v>200</v>
      </c>
      <c r="Q12" s="54">
        <f t="shared" si="10"/>
        <v>19800</v>
      </c>
      <c r="R12" s="27">
        <f t="shared" si="11"/>
        <v>19800</v>
      </c>
      <c r="S12" s="55">
        <f t="shared" si="12"/>
        <v>20000</v>
      </c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7" t="s">
        <v>51</v>
      </c>
      <c r="B13" s="59"/>
      <c r="C13" s="10"/>
      <c r="D13" s="10"/>
      <c r="E13" s="11"/>
      <c r="F13" s="11"/>
      <c r="G13" s="10"/>
      <c r="H13" s="10"/>
      <c r="I13" s="10"/>
      <c r="J13" s="10"/>
      <c r="K13" s="12"/>
      <c r="L13" s="12"/>
      <c r="M13" s="12"/>
      <c r="N13" s="12"/>
      <c r="O13" s="12"/>
      <c r="P13" s="12"/>
      <c r="Q13" s="12"/>
      <c r="R13" s="13" t="str">
        <f t="shared" si="11"/>
        <v/>
      </c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7" t="s">
        <v>29</v>
      </c>
      <c r="B14" s="10"/>
      <c r="C14" s="10"/>
      <c r="D14" s="10"/>
      <c r="E14" s="11"/>
      <c r="F14" s="11"/>
      <c r="G14" s="26">
        <f t="shared" ref="G14:S14" si="13">SUM(G2:G5)</f>
        <v>100</v>
      </c>
      <c r="H14" s="26">
        <f t="shared" si="13"/>
        <v>100</v>
      </c>
      <c r="I14" s="26">
        <f t="shared" si="13"/>
        <v>80000</v>
      </c>
      <c r="J14" s="26">
        <f t="shared" si="13"/>
        <v>60000</v>
      </c>
      <c r="K14" s="27">
        <f t="shared" si="13"/>
        <v>0</v>
      </c>
      <c r="L14" s="27">
        <f t="shared" si="13"/>
        <v>60000</v>
      </c>
      <c r="M14" s="27">
        <f t="shared" si="13"/>
        <v>0</v>
      </c>
      <c r="N14" s="27">
        <f t="shared" si="13"/>
        <v>0</v>
      </c>
      <c r="O14" s="27">
        <f t="shared" si="13"/>
        <v>3</v>
      </c>
      <c r="P14" s="27">
        <f t="shared" si="13"/>
        <v>600</v>
      </c>
      <c r="Q14" s="27">
        <f t="shared" si="13"/>
        <v>59400</v>
      </c>
      <c r="R14" s="27">
        <f t="shared" si="13"/>
        <v>59400</v>
      </c>
      <c r="S14" s="26">
        <f t="shared" si="13"/>
        <v>60000</v>
      </c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0"/>
      <c r="B15" s="10"/>
      <c r="C15" s="10"/>
      <c r="D15" s="10"/>
      <c r="E15" s="11"/>
      <c r="F15" s="11"/>
      <c r="G15" s="10"/>
      <c r="H15" s="10"/>
      <c r="I15" s="10"/>
      <c r="J15" s="12"/>
      <c r="K15" s="12"/>
      <c r="L15" s="12"/>
      <c r="M15" s="60"/>
      <c r="N15" s="12"/>
      <c r="O15" s="12"/>
      <c r="P15" s="12"/>
      <c r="Q15" s="12"/>
      <c r="R15" s="13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48"/>
      <c r="B16" s="48"/>
      <c r="C16" s="48"/>
      <c r="D16" s="48"/>
      <c r="E16" s="11"/>
      <c r="F16" s="11"/>
      <c r="G16" s="10"/>
      <c r="H16" s="10"/>
      <c r="I16" s="10"/>
      <c r="J16" s="10"/>
      <c r="K16" s="12"/>
      <c r="L16" s="12"/>
      <c r="M16" s="60"/>
      <c r="N16" s="12"/>
      <c r="O16" s="12"/>
      <c r="P16" s="12"/>
      <c r="Q16" s="12"/>
      <c r="R16" s="13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48"/>
      <c r="B17" s="47"/>
      <c r="C17" s="42"/>
      <c r="D17" s="48"/>
      <c r="E17" s="11"/>
      <c r="F17" s="11"/>
      <c r="G17" s="10"/>
      <c r="H17" s="10"/>
      <c r="I17" s="10"/>
      <c r="J17" s="10"/>
      <c r="K17" s="12"/>
      <c r="L17" s="12"/>
      <c r="M17" s="60"/>
      <c r="N17" s="12"/>
      <c r="O17" s="12"/>
      <c r="P17" s="12"/>
      <c r="Q17" s="12"/>
      <c r="R17" s="13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48"/>
      <c r="B18" s="47"/>
      <c r="C18" s="61"/>
      <c r="D18" s="48"/>
      <c r="E18" s="11"/>
      <c r="F18" s="11"/>
      <c r="G18" s="10"/>
      <c r="H18" s="10"/>
      <c r="I18" s="10"/>
      <c r="J18" s="10"/>
      <c r="K18" s="12"/>
      <c r="L18" s="12"/>
      <c r="M18" s="62"/>
      <c r="N18" s="12"/>
      <c r="O18" s="12"/>
      <c r="P18" s="12"/>
      <c r="Q18" s="12"/>
      <c r="R18" s="13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48"/>
      <c r="B19" s="48"/>
      <c r="C19" s="48"/>
      <c r="D19" s="48"/>
      <c r="E19" s="11"/>
      <c r="F19" s="11"/>
      <c r="G19" s="10"/>
      <c r="H19" s="10"/>
      <c r="I19" s="10"/>
      <c r="J19" s="10"/>
      <c r="K19" s="12"/>
      <c r="L19" s="12"/>
      <c r="M19" s="62"/>
      <c r="N19" s="12"/>
      <c r="O19" s="12"/>
      <c r="P19" s="12"/>
      <c r="Q19" s="12"/>
      <c r="R19" s="13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0"/>
      <c r="B20" s="10"/>
      <c r="C20" s="10"/>
      <c r="D20" s="10"/>
      <c r="E20" s="11"/>
      <c r="F20" s="11"/>
      <c r="G20" s="10"/>
      <c r="H20" s="10"/>
      <c r="I20" s="10"/>
      <c r="J20" s="10"/>
      <c r="K20" s="12"/>
      <c r="L20" s="10"/>
      <c r="M20" s="62"/>
      <c r="N20" s="12"/>
      <c r="O20" s="12"/>
      <c r="P20" s="12"/>
      <c r="Q20" s="12"/>
      <c r="R20" s="28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0"/>
      <c r="B21" s="10"/>
      <c r="C21" s="10"/>
      <c r="D21" s="10"/>
      <c r="E21" s="11"/>
      <c r="F21" s="11"/>
      <c r="G21" s="10"/>
      <c r="H21" s="10"/>
      <c r="I21" s="10"/>
      <c r="J21" s="10"/>
      <c r="K21" s="12"/>
      <c r="L21" s="10"/>
      <c r="M21" s="62"/>
      <c r="N21" s="12"/>
      <c r="O21" s="12"/>
      <c r="P21" s="12"/>
      <c r="Q21" s="12"/>
      <c r="R21" s="28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0"/>
      <c r="B22" s="10"/>
      <c r="C22" s="10"/>
      <c r="D22" s="10"/>
      <c r="E22" s="11"/>
      <c r="F22" s="11"/>
      <c r="G22" s="10"/>
      <c r="H22" s="10"/>
      <c r="I22" s="10"/>
      <c r="J22" s="10"/>
      <c r="K22" s="12"/>
      <c r="L22" s="10"/>
      <c r="M22" s="62"/>
      <c r="N22" s="12"/>
      <c r="O22" s="12"/>
      <c r="P22" s="12"/>
      <c r="Q22" s="12"/>
      <c r="R22" s="28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0"/>
      <c r="B23" s="10"/>
      <c r="C23" s="10"/>
      <c r="D23" s="10"/>
      <c r="E23" s="11"/>
      <c r="F23" s="11"/>
      <c r="G23" s="10"/>
      <c r="H23" s="10"/>
      <c r="I23" s="10"/>
      <c r="J23" s="10"/>
      <c r="K23" s="12"/>
      <c r="L23" s="10"/>
      <c r="M23" s="62"/>
      <c r="N23" s="12"/>
      <c r="O23" s="12"/>
      <c r="P23" s="12"/>
      <c r="Q23" s="12"/>
      <c r="R23" s="28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10"/>
      <c r="B24" s="10"/>
      <c r="C24" s="10"/>
      <c r="D24" s="10"/>
      <c r="E24" s="11"/>
      <c r="F24" s="11"/>
      <c r="G24" s="10"/>
      <c r="H24" s="10"/>
      <c r="I24" s="10"/>
      <c r="J24" s="10"/>
      <c r="K24" s="12"/>
      <c r="L24" s="10"/>
      <c r="M24" s="10"/>
      <c r="N24" s="10"/>
      <c r="O24" s="10"/>
      <c r="P24" s="10"/>
      <c r="Q24" s="10"/>
      <c r="R24" s="28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10"/>
      <c r="B25" s="10"/>
      <c r="C25" s="10"/>
      <c r="D25" s="10"/>
      <c r="E25" s="11"/>
      <c r="F25" s="11"/>
      <c r="G25" s="10"/>
      <c r="H25" s="10"/>
      <c r="I25" s="10"/>
      <c r="J25" s="10"/>
      <c r="K25" s="12"/>
      <c r="L25" s="10"/>
      <c r="M25" s="10"/>
      <c r="N25" s="10"/>
      <c r="O25" s="10"/>
      <c r="P25" s="10"/>
      <c r="Q25" s="12"/>
      <c r="R25" s="28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10"/>
      <c r="B26" s="10"/>
      <c r="C26" s="10"/>
      <c r="D26" s="10"/>
      <c r="E26" s="11"/>
      <c r="F26" s="11"/>
      <c r="G26" s="10"/>
      <c r="H26" s="10"/>
      <c r="I26" s="10"/>
      <c r="J26" s="10"/>
      <c r="K26" s="12"/>
      <c r="L26" s="10"/>
      <c r="M26" s="10"/>
      <c r="N26" s="10"/>
      <c r="O26" s="10"/>
      <c r="P26" s="10"/>
      <c r="Q26" s="12"/>
      <c r="R26" s="28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10"/>
      <c r="B27" s="10"/>
      <c r="C27" s="10"/>
      <c r="D27" s="10"/>
      <c r="E27" s="11"/>
      <c r="F27" s="11"/>
      <c r="G27" s="10"/>
      <c r="H27" s="10"/>
      <c r="I27" s="10"/>
      <c r="J27" s="10"/>
      <c r="K27" s="12"/>
      <c r="L27" s="12"/>
      <c r="M27" s="10"/>
      <c r="N27" s="12"/>
      <c r="O27" s="12"/>
      <c r="P27" s="12"/>
      <c r="Q27" s="12"/>
      <c r="R27" s="28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10"/>
      <c r="B28" s="10"/>
      <c r="C28" s="10"/>
      <c r="D28" s="10"/>
      <c r="E28" s="10"/>
      <c r="F28" s="11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28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10"/>
      <c r="B29" s="10"/>
      <c r="C29" s="10"/>
      <c r="D29" s="10"/>
      <c r="E29" s="10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28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10"/>
      <c r="B30" s="10"/>
      <c r="C30" s="10"/>
      <c r="D30" s="10"/>
      <c r="E30" s="10"/>
      <c r="F30" s="11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28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10"/>
      <c r="B31" s="10"/>
      <c r="C31" s="10"/>
      <c r="D31" s="10"/>
      <c r="E31" s="10"/>
      <c r="F31" s="11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28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10"/>
      <c r="B32" s="10"/>
      <c r="C32" s="10"/>
      <c r="D32" s="10"/>
      <c r="E32" s="10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28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0"/>
      <c r="B33" s="10"/>
      <c r="C33" s="10"/>
      <c r="D33" s="10"/>
      <c r="E33" s="10"/>
      <c r="F33" s="11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28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0"/>
      <c r="B34" s="10"/>
      <c r="C34" s="10"/>
      <c r="D34" s="10"/>
      <c r="E34" s="10"/>
      <c r="F34" s="11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28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10"/>
      <c r="B35" s="10"/>
      <c r="C35" s="10"/>
      <c r="D35" s="10"/>
      <c r="E35" s="10"/>
      <c r="F35" s="11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28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0"/>
      <c r="B36" s="10"/>
      <c r="C36" s="10"/>
      <c r="D36" s="10"/>
      <c r="E36" s="10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28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0"/>
      <c r="B37" s="10"/>
      <c r="C37" s="10"/>
      <c r="D37" s="10"/>
      <c r="E37" s="10"/>
      <c r="F37" s="11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28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10"/>
      <c r="B38" s="10"/>
      <c r="C38" s="10"/>
      <c r="D38" s="10"/>
      <c r="E38" s="10"/>
      <c r="F38" s="11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28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10"/>
      <c r="B39" s="10"/>
      <c r="C39" s="10"/>
      <c r="D39" s="10"/>
      <c r="E39" s="10"/>
      <c r="F39" s="11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8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10"/>
      <c r="B40" s="10"/>
      <c r="C40" s="10"/>
      <c r="D40" s="10"/>
      <c r="E40" s="10"/>
      <c r="F40" s="11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28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10"/>
      <c r="B41" s="10"/>
      <c r="C41" s="10"/>
      <c r="D41" s="10"/>
      <c r="E41" s="10"/>
      <c r="F41" s="11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28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10"/>
      <c r="B42" s="10"/>
      <c r="C42" s="10"/>
      <c r="D42" s="10"/>
      <c r="E42" s="10"/>
      <c r="F42" s="11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28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10"/>
      <c r="B43" s="10"/>
      <c r="C43" s="10"/>
      <c r="D43" s="10"/>
      <c r="E43" s="10"/>
      <c r="F43" s="11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28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0"/>
      <c r="B44" s="10"/>
      <c r="C44" s="10"/>
      <c r="D44" s="10"/>
      <c r="E44" s="10"/>
      <c r="F44" s="11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8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0"/>
      <c r="B45" s="10"/>
      <c r="C45" s="10"/>
      <c r="D45" s="10"/>
      <c r="E45" s="10"/>
      <c r="F45" s="11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28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0"/>
      <c r="B46" s="10"/>
      <c r="C46" s="10"/>
      <c r="D46" s="10"/>
      <c r="E46" s="10"/>
      <c r="F46" s="11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28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10"/>
      <c r="B47" s="10"/>
      <c r="C47" s="10"/>
      <c r="D47" s="10"/>
      <c r="E47" s="10"/>
      <c r="F47" s="11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28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10"/>
      <c r="B48" s="10"/>
      <c r="C48" s="10"/>
      <c r="D48" s="10"/>
      <c r="E48" s="10"/>
      <c r="F48" s="11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28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0"/>
      <c r="B49" s="10"/>
      <c r="C49" s="10"/>
      <c r="D49" s="10"/>
      <c r="E49" s="10"/>
      <c r="F49" s="11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28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10"/>
      <c r="B50" s="10"/>
      <c r="C50" s="10"/>
      <c r="D50" s="10"/>
      <c r="E50" s="10"/>
      <c r="F50" s="1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28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10"/>
      <c r="B51" s="10"/>
      <c r="C51" s="10"/>
      <c r="D51" s="10"/>
      <c r="E51" s="10"/>
      <c r="F51" s="11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28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0"/>
      <c r="B52" s="10"/>
      <c r="C52" s="10"/>
      <c r="D52" s="10"/>
      <c r="E52" s="10"/>
      <c r="F52" s="1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28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0"/>
      <c r="B53" s="10"/>
      <c r="C53" s="10"/>
      <c r="D53" s="10"/>
      <c r="E53" s="10"/>
      <c r="F53" s="1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28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10"/>
      <c r="B54" s="10"/>
      <c r="C54" s="10"/>
      <c r="D54" s="10"/>
      <c r="E54" s="10"/>
      <c r="F54" s="1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28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10"/>
      <c r="B55" s="10"/>
      <c r="C55" s="10"/>
      <c r="D55" s="10"/>
      <c r="E55" s="10"/>
      <c r="F55" s="1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28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0"/>
      <c r="B56" s="10"/>
      <c r="C56" s="10"/>
      <c r="D56" s="10"/>
      <c r="E56" s="10"/>
      <c r="F56" s="1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28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0"/>
      <c r="B57" s="10"/>
      <c r="C57" s="10"/>
      <c r="D57" s="10"/>
      <c r="E57" s="10"/>
      <c r="F57" s="1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28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0"/>
      <c r="B58" s="10"/>
      <c r="C58" s="10"/>
      <c r="D58" s="10"/>
      <c r="E58" s="10"/>
      <c r="F58" s="1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28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0"/>
      <c r="B59" s="10"/>
      <c r="C59" s="10"/>
      <c r="D59" s="10"/>
      <c r="E59" s="10"/>
      <c r="F59" s="1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28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0"/>
      <c r="B60" s="10"/>
      <c r="C60" s="10"/>
      <c r="D60" s="10"/>
      <c r="E60" s="10"/>
      <c r="F60" s="1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28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0"/>
      <c r="B61" s="10"/>
      <c r="C61" s="10"/>
      <c r="D61" s="10"/>
      <c r="E61" s="10"/>
      <c r="F61" s="1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28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0"/>
      <c r="B62" s="10"/>
      <c r="C62" s="10"/>
      <c r="D62" s="10"/>
      <c r="E62" s="10"/>
      <c r="F62" s="1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28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0"/>
      <c r="B63" s="10"/>
      <c r="C63" s="10"/>
      <c r="D63" s="10"/>
      <c r="E63" s="10"/>
      <c r="F63" s="1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28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0"/>
      <c r="B64" s="10"/>
      <c r="C64" s="10"/>
      <c r="D64" s="10"/>
      <c r="E64" s="10"/>
      <c r="F64" s="1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28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0"/>
      <c r="B65" s="10"/>
      <c r="C65" s="10"/>
      <c r="D65" s="10"/>
      <c r="E65" s="10"/>
      <c r="F65" s="1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28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0"/>
      <c r="B66" s="10"/>
      <c r="C66" s="10"/>
      <c r="D66" s="10"/>
      <c r="E66" s="10"/>
      <c r="F66" s="1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28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10"/>
      <c r="D67" s="10"/>
      <c r="E67" s="10"/>
      <c r="F67" s="1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28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0"/>
      <c r="B68" s="10"/>
      <c r="C68" s="10"/>
      <c r="D68" s="10"/>
      <c r="E68" s="10"/>
      <c r="F68" s="1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28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0"/>
      <c r="B69" s="10"/>
      <c r="C69" s="10"/>
      <c r="D69" s="10"/>
      <c r="E69" s="10"/>
      <c r="F69" s="1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28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0"/>
      <c r="B70" s="10"/>
      <c r="C70" s="10"/>
      <c r="D70" s="10"/>
      <c r="E70" s="10"/>
      <c r="F70" s="1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28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0"/>
      <c r="B71" s="10"/>
      <c r="C71" s="10"/>
      <c r="D71" s="10"/>
      <c r="E71" s="10"/>
      <c r="F71" s="1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28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0"/>
      <c r="B72" s="10"/>
      <c r="C72" s="10"/>
      <c r="D72" s="10"/>
      <c r="E72" s="10"/>
      <c r="F72" s="1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28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0"/>
      <c r="B73" s="10"/>
      <c r="C73" s="10"/>
      <c r="D73" s="10"/>
      <c r="E73" s="10"/>
      <c r="F73" s="1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28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0"/>
      <c r="B74" s="10"/>
      <c r="C74" s="10"/>
      <c r="D74" s="10"/>
      <c r="E74" s="10"/>
      <c r="F74" s="1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28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0"/>
      <c r="B75" s="10"/>
      <c r="C75" s="10"/>
      <c r="D75" s="10"/>
      <c r="E75" s="10"/>
      <c r="F75" s="1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28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0"/>
      <c r="B76" s="10"/>
      <c r="C76" s="10"/>
      <c r="D76" s="10"/>
      <c r="E76" s="10"/>
      <c r="F76" s="1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28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0"/>
      <c r="B77" s="10"/>
      <c r="C77" s="10"/>
      <c r="D77" s="10"/>
      <c r="E77" s="10"/>
      <c r="F77" s="1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28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0"/>
      <c r="B78" s="10"/>
      <c r="C78" s="10"/>
      <c r="D78" s="10"/>
      <c r="E78" s="10"/>
      <c r="F78" s="1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28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0"/>
      <c r="B79" s="10"/>
      <c r="C79" s="10"/>
      <c r="D79" s="10"/>
      <c r="E79" s="10"/>
      <c r="F79" s="1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28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0"/>
      <c r="B80" s="10"/>
      <c r="C80" s="10"/>
      <c r="D80" s="10"/>
      <c r="E80" s="10"/>
      <c r="F80" s="1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28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0"/>
      <c r="B81" s="10"/>
      <c r="C81" s="10"/>
      <c r="D81" s="10"/>
      <c r="E81" s="10"/>
      <c r="F81" s="1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28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10"/>
      <c r="B82" s="10"/>
      <c r="C82" s="10"/>
      <c r="D82" s="10"/>
      <c r="E82" s="10"/>
      <c r="F82" s="1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28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10"/>
      <c r="B83" s="10"/>
      <c r="C83" s="10"/>
      <c r="D83" s="10"/>
      <c r="E83" s="10"/>
      <c r="F83" s="1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28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10"/>
      <c r="B84" s="10"/>
      <c r="C84" s="10"/>
      <c r="D84" s="10"/>
      <c r="E84" s="10"/>
      <c r="F84" s="1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28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10"/>
      <c r="B85" s="10"/>
      <c r="C85" s="10"/>
      <c r="D85" s="10"/>
      <c r="E85" s="10"/>
      <c r="F85" s="1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28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10"/>
      <c r="B86" s="10"/>
      <c r="C86" s="10"/>
      <c r="D86" s="10"/>
      <c r="E86" s="10"/>
      <c r="F86" s="1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28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10"/>
      <c r="B87" s="10"/>
      <c r="C87" s="10"/>
      <c r="D87" s="10"/>
      <c r="E87" s="10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28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0"/>
      <c r="B88" s="10"/>
      <c r="C88" s="10"/>
      <c r="D88" s="10"/>
      <c r="E88" s="10"/>
      <c r="F88" s="1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28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0"/>
      <c r="B89" s="10"/>
      <c r="C89" s="10"/>
      <c r="D89" s="10"/>
      <c r="E89" s="10"/>
      <c r="F89" s="1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28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0"/>
      <c r="B90" s="10"/>
      <c r="C90" s="10"/>
      <c r="D90" s="10"/>
      <c r="E90" s="10"/>
      <c r="F90" s="1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28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0"/>
      <c r="B91" s="10"/>
      <c r="C91" s="10"/>
      <c r="D91" s="10"/>
      <c r="E91" s="10"/>
      <c r="F91" s="1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28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0"/>
      <c r="B92" s="10"/>
      <c r="C92" s="10"/>
      <c r="D92" s="10"/>
      <c r="E92" s="10"/>
      <c r="F92" s="1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28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10"/>
      <c r="B93" s="10"/>
      <c r="C93" s="10"/>
      <c r="D93" s="10"/>
      <c r="E93" s="10"/>
      <c r="F93" s="1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28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0"/>
      <c r="B94" s="10"/>
      <c r="C94" s="10"/>
      <c r="D94" s="10"/>
      <c r="E94" s="10"/>
      <c r="F94" s="1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28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0"/>
      <c r="B95" s="10"/>
      <c r="C95" s="10"/>
      <c r="D95" s="10"/>
      <c r="E95" s="10"/>
      <c r="F95" s="1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28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10"/>
      <c r="B96" s="10"/>
      <c r="C96" s="10"/>
      <c r="D96" s="10"/>
      <c r="E96" s="10"/>
      <c r="F96" s="1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28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0"/>
      <c r="B97" s="10"/>
      <c r="C97" s="10"/>
      <c r="D97" s="10"/>
      <c r="E97" s="10"/>
      <c r="F97" s="1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28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10"/>
      <c r="B98" s="10"/>
      <c r="C98" s="10"/>
      <c r="D98" s="10"/>
      <c r="E98" s="10"/>
      <c r="F98" s="1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28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10"/>
      <c r="B99" s="10"/>
      <c r="C99" s="10"/>
      <c r="D99" s="10"/>
      <c r="E99" s="10"/>
      <c r="F99" s="1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28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0"/>
      <c r="B100" s="10"/>
      <c r="C100" s="10"/>
      <c r="D100" s="10"/>
      <c r="E100" s="10"/>
      <c r="F100" s="1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28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0"/>
      <c r="B101" s="10"/>
      <c r="C101" s="10"/>
      <c r="D101" s="10"/>
      <c r="E101" s="10"/>
      <c r="F101" s="1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28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0"/>
      <c r="B102" s="10"/>
      <c r="C102" s="10"/>
      <c r="D102" s="10"/>
      <c r="E102" s="10"/>
      <c r="F102" s="1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28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10"/>
      <c r="B103" s="10"/>
      <c r="C103" s="10"/>
      <c r="D103" s="10"/>
      <c r="E103" s="10"/>
      <c r="F103" s="1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28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0"/>
      <c r="B104" s="10"/>
      <c r="C104" s="10"/>
      <c r="D104" s="10"/>
      <c r="E104" s="10"/>
      <c r="F104" s="1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28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0"/>
      <c r="B105" s="10"/>
      <c r="C105" s="10"/>
      <c r="D105" s="10"/>
      <c r="E105" s="10"/>
      <c r="F105" s="1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28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0"/>
      <c r="B106" s="10"/>
      <c r="C106" s="10"/>
      <c r="D106" s="10"/>
      <c r="E106" s="10"/>
      <c r="F106" s="11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28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0"/>
      <c r="B107" s="10"/>
      <c r="C107" s="10"/>
      <c r="D107" s="10"/>
      <c r="E107" s="10"/>
      <c r="F107" s="11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28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0"/>
      <c r="B108" s="10"/>
      <c r="C108" s="10"/>
      <c r="D108" s="10"/>
      <c r="E108" s="10"/>
      <c r="F108" s="11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28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0"/>
      <c r="B109" s="10"/>
      <c r="C109" s="10"/>
      <c r="D109" s="10"/>
      <c r="E109" s="10"/>
      <c r="F109" s="11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28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10"/>
      <c r="B110" s="10"/>
      <c r="C110" s="10"/>
      <c r="D110" s="10"/>
      <c r="E110" s="10"/>
      <c r="F110" s="11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28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10"/>
      <c r="B111" s="10"/>
      <c r="C111" s="10"/>
      <c r="D111" s="10"/>
      <c r="E111" s="10"/>
      <c r="F111" s="1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28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10"/>
      <c r="B112" s="10"/>
      <c r="C112" s="10"/>
      <c r="D112" s="10"/>
      <c r="E112" s="10"/>
      <c r="F112" s="11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28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10"/>
      <c r="B113" s="10"/>
      <c r="C113" s="10"/>
      <c r="D113" s="10"/>
      <c r="E113" s="10"/>
      <c r="F113" s="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28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10"/>
      <c r="B114" s="10"/>
      <c r="C114" s="10"/>
      <c r="D114" s="10"/>
      <c r="E114" s="10"/>
      <c r="F114" s="11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28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10"/>
      <c r="B115" s="10"/>
      <c r="C115" s="10"/>
      <c r="D115" s="10"/>
      <c r="E115" s="10"/>
      <c r="F115" s="1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28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10"/>
      <c r="B116" s="10"/>
      <c r="C116" s="10"/>
      <c r="D116" s="10"/>
      <c r="E116" s="10"/>
      <c r="F116" s="11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28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10"/>
      <c r="B117" s="10"/>
      <c r="C117" s="10"/>
      <c r="D117" s="10"/>
      <c r="E117" s="10"/>
      <c r="F117" s="1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28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10"/>
      <c r="B118" s="10"/>
      <c r="C118" s="10"/>
      <c r="D118" s="10"/>
      <c r="E118" s="10"/>
      <c r="F118" s="11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28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10"/>
      <c r="B119" s="10"/>
      <c r="C119" s="10"/>
      <c r="D119" s="10"/>
      <c r="E119" s="10"/>
      <c r="F119" s="11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28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10"/>
      <c r="B120" s="10"/>
      <c r="C120" s="10"/>
      <c r="D120" s="10"/>
      <c r="E120" s="10"/>
      <c r="F120" s="11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28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10"/>
      <c r="B121" s="10"/>
      <c r="C121" s="10"/>
      <c r="D121" s="10"/>
      <c r="E121" s="10"/>
      <c r="F121" s="11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28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10"/>
      <c r="B122" s="10"/>
      <c r="C122" s="10"/>
      <c r="D122" s="10"/>
      <c r="E122" s="10"/>
      <c r="F122" s="11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28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10"/>
      <c r="B123" s="10"/>
      <c r="C123" s="10"/>
      <c r="D123" s="10"/>
      <c r="E123" s="10"/>
      <c r="F123" s="1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28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10"/>
      <c r="B124" s="10"/>
      <c r="C124" s="10"/>
      <c r="D124" s="10"/>
      <c r="E124" s="10"/>
      <c r="F124" s="11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28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10"/>
      <c r="B125" s="10"/>
      <c r="C125" s="10"/>
      <c r="D125" s="10"/>
      <c r="E125" s="10"/>
      <c r="F125" s="1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28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10"/>
      <c r="B126" s="10"/>
      <c r="C126" s="10"/>
      <c r="D126" s="10"/>
      <c r="E126" s="10"/>
      <c r="F126" s="11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28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10"/>
      <c r="B127" s="10"/>
      <c r="C127" s="10"/>
      <c r="D127" s="10"/>
      <c r="E127" s="10"/>
      <c r="F127" s="1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28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10"/>
      <c r="B128" s="10"/>
      <c r="C128" s="10"/>
      <c r="D128" s="10"/>
      <c r="E128" s="10"/>
      <c r="F128" s="11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28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10"/>
      <c r="B129" s="10"/>
      <c r="C129" s="10"/>
      <c r="D129" s="10"/>
      <c r="E129" s="10"/>
      <c r="F129" s="1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28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10"/>
      <c r="B130" s="10"/>
      <c r="C130" s="10"/>
      <c r="D130" s="10"/>
      <c r="E130" s="10"/>
      <c r="F130" s="11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28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10"/>
      <c r="B131" s="10"/>
      <c r="C131" s="10"/>
      <c r="D131" s="10"/>
      <c r="E131" s="10"/>
      <c r="F131" s="1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28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10"/>
      <c r="B132" s="10"/>
      <c r="C132" s="10"/>
      <c r="D132" s="10"/>
      <c r="E132" s="10"/>
      <c r="F132" s="11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28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10"/>
      <c r="B133" s="10"/>
      <c r="C133" s="10"/>
      <c r="D133" s="10"/>
      <c r="E133" s="10"/>
      <c r="F133" s="11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28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10"/>
      <c r="B134" s="10"/>
      <c r="C134" s="10"/>
      <c r="D134" s="10"/>
      <c r="E134" s="10"/>
      <c r="F134" s="11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28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10"/>
      <c r="B135" s="10"/>
      <c r="C135" s="10"/>
      <c r="D135" s="10"/>
      <c r="E135" s="10"/>
      <c r="F135" s="11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28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10"/>
      <c r="B136" s="10"/>
      <c r="C136" s="10"/>
      <c r="D136" s="10"/>
      <c r="E136" s="10"/>
      <c r="F136" s="11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28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10"/>
      <c r="B137" s="10"/>
      <c r="C137" s="10"/>
      <c r="D137" s="10"/>
      <c r="E137" s="10"/>
      <c r="F137" s="11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28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10"/>
      <c r="B138" s="10"/>
      <c r="C138" s="10"/>
      <c r="D138" s="10"/>
      <c r="E138" s="10"/>
      <c r="F138" s="11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28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10"/>
      <c r="B139" s="10"/>
      <c r="C139" s="10"/>
      <c r="D139" s="10"/>
      <c r="E139" s="10"/>
      <c r="F139" s="1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28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10"/>
      <c r="B140" s="10"/>
      <c r="C140" s="10"/>
      <c r="D140" s="10"/>
      <c r="E140" s="10"/>
      <c r="F140" s="11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28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10"/>
      <c r="B141" s="10"/>
      <c r="C141" s="10"/>
      <c r="D141" s="10"/>
      <c r="E141" s="10"/>
      <c r="F141" s="11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28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10"/>
      <c r="B142" s="10"/>
      <c r="C142" s="10"/>
      <c r="D142" s="10"/>
      <c r="E142" s="10"/>
      <c r="F142" s="11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28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10"/>
      <c r="B143" s="10"/>
      <c r="C143" s="10"/>
      <c r="D143" s="10"/>
      <c r="E143" s="10"/>
      <c r="F143" s="1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28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10"/>
      <c r="B144" s="10"/>
      <c r="C144" s="10"/>
      <c r="D144" s="10"/>
      <c r="E144" s="10"/>
      <c r="F144" s="11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28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10"/>
      <c r="B145" s="10"/>
      <c r="C145" s="10"/>
      <c r="D145" s="10"/>
      <c r="E145" s="10"/>
      <c r="F145" s="11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28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10"/>
      <c r="B146" s="10"/>
      <c r="C146" s="10"/>
      <c r="D146" s="10"/>
      <c r="E146" s="10"/>
      <c r="F146" s="11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28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10"/>
      <c r="B147" s="10"/>
      <c r="C147" s="10"/>
      <c r="D147" s="10"/>
      <c r="E147" s="10"/>
      <c r="F147" s="1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28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10"/>
      <c r="B148" s="10"/>
      <c r="C148" s="10"/>
      <c r="D148" s="10"/>
      <c r="E148" s="10"/>
      <c r="F148" s="11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28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10"/>
      <c r="B149" s="10"/>
      <c r="C149" s="10"/>
      <c r="D149" s="10"/>
      <c r="E149" s="10"/>
      <c r="F149" s="11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28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10"/>
      <c r="B150" s="10"/>
      <c r="C150" s="10"/>
      <c r="D150" s="10"/>
      <c r="E150" s="10"/>
      <c r="F150" s="11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28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10"/>
      <c r="B151" s="10"/>
      <c r="C151" s="10"/>
      <c r="D151" s="10"/>
      <c r="E151" s="10"/>
      <c r="F151" s="11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28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10"/>
      <c r="B152" s="10"/>
      <c r="C152" s="10"/>
      <c r="D152" s="10"/>
      <c r="E152" s="10"/>
      <c r="F152" s="11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28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10"/>
      <c r="B153" s="10"/>
      <c r="C153" s="10"/>
      <c r="D153" s="10"/>
      <c r="E153" s="10"/>
      <c r="F153" s="11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28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10"/>
      <c r="B154" s="10"/>
      <c r="C154" s="10"/>
      <c r="D154" s="10"/>
      <c r="E154" s="10"/>
      <c r="F154" s="11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28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10"/>
      <c r="B155" s="10"/>
      <c r="C155" s="10"/>
      <c r="D155" s="10"/>
      <c r="E155" s="10"/>
      <c r="F155" s="11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28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10"/>
      <c r="B156" s="10"/>
      <c r="C156" s="10"/>
      <c r="D156" s="10"/>
      <c r="E156" s="10"/>
      <c r="F156" s="11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28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10"/>
      <c r="B157" s="10"/>
      <c r="C157" s="10"/>
      <c r="D157" s="10"/>
      <c r="E157" s="10"/>
      <c r="F157" s="11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28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10"/>
      <c r="B158" s="10"/>
      <c r="C158" s="10"/>
      <c r="D158" s="10"/>
      <c r="E158" s="10"/>
      <c r="F158" s="11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28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10"/>
      <c r="B159" s="10"/>
      <c r="C159" s="10"/>
      <c r="D159" s="10"/>
      <c r="E159" s="10"/>
      <c r="F159" s="11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28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10"/>
      <c r="B160" s="10"/>
      <c r="C160" s="10"/>
      <c r="D160" s="10"/>
      <c r="E160" s="10"/>
      <c r="F160" s="11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28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10"/>
      <c r="B161" s="10"/>
      <c r="C161" s="10"/>
      <c r="D161" s="10"/>
      <c r="E161" s="10"/>
      <c r="F161" s="11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28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10"/>
      <c r="B162" s="10"/>
      <c r="C162" s="10"/>
      <c r="D162" s="10"/>
      <c r="E162" s="10"/>
      <c r="F162" s="11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28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10"/>
      <c r="B163" s="10"/>
      <c r="C163" s="10"/>
      <c r="D163" s="10"/>
      <c r="E163" s="10"/>
      <c r="F163" s="1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28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10"/>
      <c r="B164" s="10"/>
      <c r="C164" s="10"/>
      <c r="D164" s="10"/>
      <c r="E164" s="10"/>
      <c r="F164" s="11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28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10"/>
      <c r="B165" s="10"/>
      <c r="C165" s="10"/>
      <c r="D165" s="10"/>
      <c r="E165" s="10"/>
      <c r="F165" s="11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28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10"/>
      <c r="B166" s="10"/>
      <c r="C166" s="10"/>
      <c r="D166" s="10"/>
      <c r="E166" s="10"/>
      <c r="F166" s="11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28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10"/>
      <c r="B167" s="10"/>
      <c r="C167" s="10"/>
      <c r="D167" s="10"/>
      <c r="E167" s="10"/>
      <c r="F167" s="11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28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10"/>
      <c r="B168" s="10"/>
      <c r="C168" s="10"/>
      <c r="D168" s="10"/>
      <c r="E168" s="10"/>
      <c r="F168" s="11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28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10"/>
      <c r="B169" s="10"/>
      <c r="C169" s="10"/>
      <c r="D169" s="10"/>
      <c r="E169" s="10"/>
      <c r="F169" s="1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28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10"/>
      <c r="B170" s="10"/>
      <c r="C170" s="10"/>
      <c r="D170" s="10"/>
      <c r="E170" s="10"/>
      <c r="F170" s="11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28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10"/>
      <c r="B171" s="10"/>
      <c r="C171" s="10"/>
      <c r="D171" s="10"/>
      <c r="E171" s="10"/>
      <c r="F171" s="11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28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10"/>
      <c r="B172" s="10"/>
      <c r="C172" s="10"/>
      <c r="D172" s="10"/>
      <c r="E172" s="10"/>
      <c r="F172" s="11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28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10"/>
      <c r="B173" s="10"/>
      <c r="C173" s="10"/>
      <c r="D173" s="10"/>
      <c r="E173" s="10"/>
      <c r="F173" s="11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28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10"/>
      <c r="B174" s="10"/>
      <c r="C174" s="10"/>
      <c r="D174" s="10"/>
      <c r="E174" s="10"/>
      <c r="F174" s="11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28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10"/>
      <c r="B175" s="10"/>
      <c r="C175" s="10"/>
      <c r="D175" s="10"/>
      <c r="E175" s="10"/>
      <c r="F175" s="1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28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10"/>
      <c r="B176" s="10"/>
      <c r="C176" s="10"/>
      <c r="D176" s="10"/>
      <c r="E176" s="10"/>
      <c r="F176" s="1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28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10"/>
      <c r="B177" s="10"/>
      <c r="C177" s="10"/>
      <c r="D177" s="10"/>
      <c r="E177" s="10"/>
      <c r="F177" s="1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28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10"/>
      <c r="B178" s="10"/>
      <c r="C178" s="10"/>
      <c r="D178" s="10"/>
      <c r="E178" s="10"/>
      <c r="F178" s="11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28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10"/>
      <c r="B179" s="10"/>
      <c r="C179" s="10"/>
      <c r="D179" s="10"/>
      <c r="E179" s="10"/>
      <c r="F179" s="1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28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10"/>
      <c r="B180" s="10"/>
      <c r="C180" s="10"/>
      <c r="D180" s="10"/>
      <c r="E180" s="10"/>
      <c r="F180" s="11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28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10"/>
      <c r="B181" s="10"/>
      <c r="C181" s="10"/>
      <c r="D181" s="10"/>
      <c r="E181" s="10"/>
      <c r="F181" s="1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28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10"/>
      <c r="B182" s="10"/>
      <c r="C182" s="10"/>
      <c r="D182" s="10"/>
      <c r="E182" s="10"/>
      <c r="F182" s="11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28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10"/>
      <c r="B183" s="10"/>
      <c r="C183" s="10"/>
      <c r="D183" s="10"/>
      <c r="E183" s="10"/>
      <c r="F183" s="11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28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10"/>
      <c r="B184" s="10"/>
      <c r="C184" s="10"/>
      <c r="D184" s="10"/>
      <c r="E184" s="10"/>
      <c r="F184" s="11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28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10"/>
      <c r="B185" s="10"/>
      <c r="C185" s="10"/>
      <c r="D185" s="10"/>
      <c r="E185" s="10"/>
      <c r="F185" s="11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28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10"/>
      <c r="B186" s="10"/>
      <c r="C186" s="10"/>
      <c r="D186" s="10"/>
      <c r="E186" s="10"/>
      <c r="F186" s="11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28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10"/>
      <c r="B187" s="10"/>
      <c r="C187" s="10"/>
      <c r="D187" s="10"/>
      <c r="E187" s="10"/>
      <c r="F187" s="1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28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10"/>
      <c r="B188" s="10"/>
      <c r="C188" s="10"/>
      <c r="D188" s="10"/>
      <c r="E188" s="10"/>
      <c r="F188" s="11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28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10"/>
      <c r="B189" s="10"/>
      <c r="C189" s="10"/>
      <c r="D189" s="10"/>
      <c r="E189" s="10"/>
      <c r="F189" s="11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28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10"/>
      <c r="B190" s="10"/>
      <c r="C190" s="10"/>
      <c r="D190" s="10"/>
      <c r="E190" s="10"/>
      <c r="F190" s="11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28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10"/>
      <c r="B191" s="10"/>
      <c r="C191" s="10"/>
      <c r="D191" s="10"/>
      <c r="E191" s="10"/>
      <c r="F191" s="11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28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10"/>
      <c r="B192" s="10"/>
      <c r="C192" s="10"/>
      <c r="D192" s="10"/>
      <c r="E192" s="10"/>
      <c r="F192" s="11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28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10"/>
      <c r="B193" s="10"/>
      <c r="C193" s="10"/>
      <c r="D193" s="10"/>
      <c r="E193" s="10"/>
      <c r="F193" s="11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28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10"/>
      <c r="B194" s="10"/>
      <c r="C194" s="10"/>
      <c r="D194" s="10"/>
      <c r="E194" s="10"/>
      <c r="F194" s="11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28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10"/>
      <c r="B195" s="10"/>
      <c r="C195" s="10"/>
      <c r="D195" s="10"/>
      <c r="E195" s="10"/>
      <c r="F195" s="11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28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0"/>
      <c r="B196" s="10"/>
      <c r="C196" s="10"/>
      <c r="D196" s="10"/>
      <c r="E196" s="10"/>
      <c r="F196" s="11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28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0"/>
      <c r="B197" s="10"/>
      <c r="C197" s="10"/>
      <c r="D197" s="10"/>
      <c r="E197" s="10"/>
      <c r="F197" s="11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28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0"/>
      <c r="B198" s="10"/>
      <c r="C198" s="10"/>
      <c r="D198" s="10"/>
      <c r="E198" s="10"/>
      <c r="F198" s="11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28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0"/>
      <c r="B199" s="10"/>
      <c r="C199" s="10"/>
      <c r="D199" s="10"/>
      <c r="E199" s="10"/>
      <c r="F199" s="11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28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0"/>
      <c r="B200" s="10"/>
      <c r="C200" s="10"/>
      <c r="D200" s="10"/>
      <c r="E200" s="10"/>
      <c r="F200" s="11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28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10"/>
      <c r="D201" s="10"/>
      <c r="E201" s="10"/>
      <c r="F201" s="11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28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10"/>
      <c r="D202" s="10"/>
      <c r="E202" s="10"/>
      <c r="F202" s="11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28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10"/>
      <c r="D203" s="10"/>
      <c r="E203" s="10"/>
      <c r="F203" s="11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28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10"/>
      <c r="D204" s="10"/>
      <c r="E204" s="10"/>
      <c r="F204" s="11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28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10"/>
      <c r="D205" s="10"/>
      <c r="E205" s="10"/>
      <c r="F205" s="11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28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10"/>
      <c r="D206" s="10"/>
      <c r="E206" s="10"/>
      <c r="F206" s="11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28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10"/>
      <c r="D207" s="10"/>
      <c r="E207" s="10"/>
      <c r="F207" s="11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28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10"/>
      <c r="D208" s="10"/>
      <c r="E208" s="10"/>
      <c r="F208" s="11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28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10"/>
      <c r="D209" s="10"/>
      <c r="E209" s="10"/>
      <c r="F209" s="11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28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10"/>
      <c r="D210" s="10"/>
      <c r="E210" s="10"/>
      <c r="F210" s="11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28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10"/>
      <c r="D211" s="10"/>
      <c r="E211" s="10"/>
      <c r="F211" s="11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28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10"/>
      <c r="D212" s="10"/>
      <c r="E212" s="10"/>
      <c r="F212" s="11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28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10"/>
      <c r="D213" s="10"/>
      <c r="E213" s="10"/>
      <c r="F213" s="11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28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10"/>
      <c r="D214" s="10"/>
      <c r="E214" s="10"/>
      <c r="F214" s="11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28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10"/>
      <c r="E215" s="10"/>
      <c r="F215" s="11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28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10"/>
      <c r="E216" s="10"/>
      <c r="F216" s="11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28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10"/>
      <c r="E217" s="10"/>
      <c r="F217" s="11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28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10"/>
      <c r="E218" s="10"/>
      <c r="F218" s="11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28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10"/>
      <c r="E219" s="10"/>
      <c r="F219" s="11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28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10"/>
      <c r="E220" s="10"/>
      <c r="F220" s="11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28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10"/>
      <c r="E221" s="10"/>
      <c r="F221" s="11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28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10"/>
      <c r="E222" s="10"/>
      <c r="F222" s="11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28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10"/>
      <c r="E223" s="10"/>
      <c r="F223" s="11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28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11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28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11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28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11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28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11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28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11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28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11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28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11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28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11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28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11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28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11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28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11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28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11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28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11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28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11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28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1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28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1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28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1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28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1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28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1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28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1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28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1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28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1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28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1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28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1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28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1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28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1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28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1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28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1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28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1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28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1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28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1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28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1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28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1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28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1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28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1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28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1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28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1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28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1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28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1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28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1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28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1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28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1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28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1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28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1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28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1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28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1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28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1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28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1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28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1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28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1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28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1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28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1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28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1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28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1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28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1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28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1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28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1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28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1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28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1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28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1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28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1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28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1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28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1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28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1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28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1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28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1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28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1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28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1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28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1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28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1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28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1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28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1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28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1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28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1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28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1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28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1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28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1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28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1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28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1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28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1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28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1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28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1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28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1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28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1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28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1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28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1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28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1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28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1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28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1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28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1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28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1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28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1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28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1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28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1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28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1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28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1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28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1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28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1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28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1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28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1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28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1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28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1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28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1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28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1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28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1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28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1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28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1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28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1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28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1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28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1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28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1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28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1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28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1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28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1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28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1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28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1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28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1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28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1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28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1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28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1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28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1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28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1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28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1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28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1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28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1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28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1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28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1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28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1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28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1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28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1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28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1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28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1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28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1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28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1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28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1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28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1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28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1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28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1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28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1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28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1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28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1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28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1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28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1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28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1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28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1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28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1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28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1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28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1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28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1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28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1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28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1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28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1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28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1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28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1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28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1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28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1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28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1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28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1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28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1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28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1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28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1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28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1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28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1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28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1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28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1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28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1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28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1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28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1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28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1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28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1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28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1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28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1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28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1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28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1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28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1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28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1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28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1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28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1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28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1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28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1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28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1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28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1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28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1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28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1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28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1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28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1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28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1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28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1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28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1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28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1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28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11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28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11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28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11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28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11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28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11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28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11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28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11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28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11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28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11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28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11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28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11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28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11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28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11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28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11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28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11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28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11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28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11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28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11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28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11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28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11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28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11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28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11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28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11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28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11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28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11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28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11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28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11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28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11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28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11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28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11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28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11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28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11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28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11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28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11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28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11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28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11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28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11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28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11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28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11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28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11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28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11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28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11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28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11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28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11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28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11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28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11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28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11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28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11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28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11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28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11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28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11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28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11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28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11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28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11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28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11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28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11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28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11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28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11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28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11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28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11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28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11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28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11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28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11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28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11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28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11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28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11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28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11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28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11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28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11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28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11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28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11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28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11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28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11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28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11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28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11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28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11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28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11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28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11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28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11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28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11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28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11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28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11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28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11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28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11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28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11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28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11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28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11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28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11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28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11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28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11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28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11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28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11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28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11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28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11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28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11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28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11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28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11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28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11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28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11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28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11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28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11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28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11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28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11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28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11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28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11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28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11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28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11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28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11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28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11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28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11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28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11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28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11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28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11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28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11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28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11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28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11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28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11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28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11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28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11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28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11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28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11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28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11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28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11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28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11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28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11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28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11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28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11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28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11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28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11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28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11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28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11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28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11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28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11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28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11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28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11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28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11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28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11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28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11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28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11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28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11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28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11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28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11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28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11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28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11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28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11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28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11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28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11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28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11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28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11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28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11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28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11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28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11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28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11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28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11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28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11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28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11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28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11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28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11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28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11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28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11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28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11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28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11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28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11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28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11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28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11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28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11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28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11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28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11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28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11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28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11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28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11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28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11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28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11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28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11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28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11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28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11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28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11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28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11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28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11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28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11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28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11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28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11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28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11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28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11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28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11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28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11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28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11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28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11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28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11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28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11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28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11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28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11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28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11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28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11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28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11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28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11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28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11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28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11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28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11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28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11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28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11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28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11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28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11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28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11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28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11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28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11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28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11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28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11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28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11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28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11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28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11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28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11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28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11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28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11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28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11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28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11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28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11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28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11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28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11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28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11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28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11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28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11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28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11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28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11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28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11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28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11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28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11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28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11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28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11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28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11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28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11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28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11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28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11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28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11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28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11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28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11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28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11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28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11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28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11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28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11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28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11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28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11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28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11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28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11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28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11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28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11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28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11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28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11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28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11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28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11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28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11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28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11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28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11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28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11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28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11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28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11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28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11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28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11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28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11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28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11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28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11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28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11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28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11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28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11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28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11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28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11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28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11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28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11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28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11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28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11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28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11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28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11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28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11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28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11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28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11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28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11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28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11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28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11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28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11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28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11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28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11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28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11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28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11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28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11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28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11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28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11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28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11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28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11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28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11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28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11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28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11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28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11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28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11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28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11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28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11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28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11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28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11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28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11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28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11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28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11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28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11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28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11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28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11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28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11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28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11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28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11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28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11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28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11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28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11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28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11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28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11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28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11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28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11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28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11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28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11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28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11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28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11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28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11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28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11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28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11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28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11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28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11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28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11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28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11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28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11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28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11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28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11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28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11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28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11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28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11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28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11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28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11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28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11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28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11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28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11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28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11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28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11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28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11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28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11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28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11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28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11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28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11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28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11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28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11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28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11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28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11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28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11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28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11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28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11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28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11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28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11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28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11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28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11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28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11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28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11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28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11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28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11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28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11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28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11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28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11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28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11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28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11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28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11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28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11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28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11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28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11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28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11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28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11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28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11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28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11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28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11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28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11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28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11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28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11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28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11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28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11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28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11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28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11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28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11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28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11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28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11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28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11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28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11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28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11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28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11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28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11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28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11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28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11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28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11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28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11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28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11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28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11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28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11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28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11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28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11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28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11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28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11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28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11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28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11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28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11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28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11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28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11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28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11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28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11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28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11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28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11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28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11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28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11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28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11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28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11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28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11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28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11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28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11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28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11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28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11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28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11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28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11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28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11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28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11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28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11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28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11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28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11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28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11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28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11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28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11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28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11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28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11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28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11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28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11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28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11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28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11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28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11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28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11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28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11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28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11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28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11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28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11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28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11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28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11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28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11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28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11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28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11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28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11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28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11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28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11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28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11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28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11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28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11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28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11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28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11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28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11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28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11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28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11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28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11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28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11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28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11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28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11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28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11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28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11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28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11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28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11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28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11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28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11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28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11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28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11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28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11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28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11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28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11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28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11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28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11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28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11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28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11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28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11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28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11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28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11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28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11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28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11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28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11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28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11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28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11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28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11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28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11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28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11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28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11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28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11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28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11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28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11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28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11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28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11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28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11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28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11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28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11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28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11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28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11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28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11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28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11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28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11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28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11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28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11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28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11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28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11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28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11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28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11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28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11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28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11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28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11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28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11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28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11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28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11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28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11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28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11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28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11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28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11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28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11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28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11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28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11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28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11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28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11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28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11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28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11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28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11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28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11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28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11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28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11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28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11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28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11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28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11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28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11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28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11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28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11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28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11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28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11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28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11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28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11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28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11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28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11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28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11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28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11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28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11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28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11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28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11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28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11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28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11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28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11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28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11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28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11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28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11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28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11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28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11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28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11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28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11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28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11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28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11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28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11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28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11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28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11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28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11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28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11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28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11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28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11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28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11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28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11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28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11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28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11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28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11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28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11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28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11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28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11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28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11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28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88"/>
    <col customWidth="1" min="5" max="5" width="8.25"/>
    <col customWidth="1" min="11" max="11" width="7.38"/>
    <col customWidth="1" min="13" max="13" width="9.5"/>
    <col customWidth="1" min="14" max="14" width="7.25"/>
    <col customWidth="1" min="15" max="15" width="8.63"/>
    <col customWidth="1" min="16" max="16" width="8.25"/>
  </cols>
  <sheetData>
    <row r="1">
      <c r="A1" s="7" t="s">
        <v>7</v>
      </c>
      <c r="B1" s="7" t="s">
        <v>30</v>
      </c>
      <c r="C1" s="7" t="s">
        <v>8</v>
      </c>
      <c r="D1" s="7" t="s">
        <v>9</v>
      </c>
      <c r="E1" s="8" t="s">
        <v>10</v>
      </c>
      <c r="F1" s="8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  <c r="R1" s="9" t="s">
        <v>23</v>
      </c>
      <c r="S1" s="7" t="s">
        <v>24</v>
      </c>
      <c r="T1" s="10"/>
      <c r="U1" s="10"/>
      <c r="V1" s="10"/>
      <c r="W1" s="10"/>
      <c r="X1" s="10"/>
      <c r="Y1" s="10"/>
      <c r="Z1" s="10"/>
      <c r="AA1" s="10"/>
      <c r="AB1" s="10"/>
    </row>
    <row r="2">
      <c r="A2" s="10"/>
      <c r="B2" s="10"/>
      <c r="C2" s="10"/>
      <c r="D2" s="10"/>
      <c r="E2" s="11"/>
      <c r="F2" s="11"/>
      <c r="G2" s="10"/>
      <c r="H2" s="10"/>
      <c r="I2" s="10"/>
      <c r="J2" s="10"/>
      <c r="K2" s="12"/>
      <c r="L2" s="12"/>
      <c r="M2" s="10"/>
      <c r="N2" s="10"/>
      <c r="O2" s="10"/>
      <c r="P2" s="10"/>
      <c r="Q2" s="12"/>
      <c r="R2" s="13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46" t="s">
        <v>31</v>
      </c>
      <c r="B3" s="46"/>
      <c r="C3" s="29" t="s">
        <v>32</v>
      </c>
      <c r="D3" s="29"/>
      <c r="E3" s="30"/>
      <c r="F3" s="31">
        <v>36887.0</v>
      </c>
      <c r="G3" s="32">
        <v>25.0</v>
      </c>
      <c r="H3" s="32">
        <v>25.0</v>
      </c>
      <c r="I3" s="32">
        <v>20202.0</v>
      </c>
      <c r="J3" s="33">
        <f t="shared" ref="J3:J5" si="1">IF(OR(ISBLANK(G3), ISBLANK(H3), ISBLANK(I3)), "", ROUNDUP((G3/H3)*I3,0))
</f>
        <v>20202</v>
      </c>
      <c r="K3" s="34"/>
      <c r="L3" s="35">
        <f t="shared" ref="L3:L5" si="2">SUM(J3,K3)</f>
        <v>20202</v>
      </c>
      <c r="M3" s="34"/>
      <c r="N3" s="34"/>
      <c r="O3" s="35">
        <v>1.0</v>
      </c>
      <c r="P3" s="35">
        <f t="shared" ref="P3:P5" si="3">IF(O3 &gt; 0, L3 / (O3 * 100), 0)
</f>
        <v>202.02</v>
      </c>
      <c r="Q3" s="35">
        <f t="shared" ref="Q3:Q5" si="4">IF(MINUS(L3, P3) = 0, "", MINUS(L3, P3))</f>
        <v>19999.98</v>
      </c>
      <c r="R3" s="35">
        <f t="shared" ref="R3:R5" si="5">IF(SUM(S3,P3*-1, M3*-1) = 0, "", ROUNDUP(SUM(S3, P3*-1, M3*-1),0))</f>
        <v>20000</v>
      </c>
      <c r="S3" s="32">
        <f t="shared" ref="S3:S5" si="6">IF(SUM(L3, N3) = 0, "", ROUNDUP(SUM(L3, N3),0))</f>
        <v>20202</v>
      </c>
      <c r="T3" s="29"/>
      <c r="U3" s="10"/>
      <c r="V3" s="10"/>
      <c r="W3" s="10"/>
      <c r="X3" s="10"/>
      <c r="Y3" s="10"/>
      <c r="Z3" s="10"/>
      <c r="AA3" s="10"/>
      <c r="AB3" s="10"/>
    </row>
    <row r="4">
      <c r="A4" s="46" t="s">
        <v>33</v>
      </c>
      <c r="B4" s="36"/>
      <c r="C4" s="36" t="s">
        <v>34</v>
      </c>
      <c r="D4" s="36"/>
      <c r="E4" s="37"/>
      <c r="F4" s="31">
        <v>35621.0</v>
      </c>
      <c r="G4" s="38">
        <v>25.0</v>
      </c>
      <c r="H4" s="38">
        <v>25.0</v>
      </c>
      <c r="I4" s="38">
        <v>40404.0</v>
      </c>
      <c r="J4" s="38">
        <f t="shared" si="1"/>
        <v>40404</v>
      </c>
      <c r="K4" s="39"/>
      <c r="L4" s="40">
        <f t="shared" si="2"/>
        <v>40404</v>
      </c>
      <c r="M4" s="39"/>
      <c r="N4" s="41"/>
      <c r="O4" s="40">
        <v>1.0</v>
      </c>
      <c r="P4" s="40">
        <f t="shared" si="3"/>
        <v>404.04</v>
      </c>
      <c r="Q4" s="40">
        <f t="shared" si="4"/>
        <v>39999.96</v>
      </c>
      <c r="R4" s="40">
        <f t="shared" si="5"/>
        <v>40000</v>
      </c>
      <c r="S4" s="38">
        <f t="shared" si="6"/>
        <v>40404</v>
      </c>
      <c r="T4" s="36"/>
      <c r="U4" s="10"/>
      <c r="V4" s="10"/>
      <c r="W4" s="10"/>
      <c r="X4" s="10"/>
      <c r="Y4" s="10"/>
      <c r="Z4" s="10"/>
      <c r="AA4" s="10"/>
      <c r="AB4" s="10"/>
    </row>
    <row r="5">
      <c r="A5" s="63" t="s">
        <v>52</v>
      </c>
      <c r="B5" s="38">
        <v>5.22898441502E11</v>
      </c>
      <c r="C5" s="36" t="s">
        <v>53</v>
      </c>
      <c r="D5" s="36"/>
      <c r="E5" s="64"/>
      <c r="F5" s="50">
        <v>38353.0</v>
      </c>
      <c r="G5" s="65">
        <v>25.0</v>
      </c>
      <c r="H5" s="65">
        <v>25.0</v>
      </c>
      <c r="I5" s="65">
        <v>20202.0</v>
      </c>
      <c r="J5" s="65">
        <f t="shared" si="1"/>
        <v>20202</v>
      </c>
      <c r="K5" s="66"/>
      <c r="L5" s="67">
        <f t="shared" si="2"/>
        <v>20202</v>
      </c>
      <c r="M5" s="66"/>
      <c r="N5" s="66"/>
      <c r="O5" s="67">
        <v>1.0</v>
      </c>
      <c r="P5" s="67">
        <f t="shared" si="3"/>
        <v>202.02</v>
      </c>
      <c r="Q5" s="67">
        <f t="shared" si="4"/>
        <v>19999.98</v>
      </c>
      <c r="R5" s="67">
        <f t="shared" si="5"/>
        <v>20000</v>
      </c>
      <c r="S5" s="65">
        <f t="shared" si="6"/>
        <v>20202</v>
      </c>
      <c r="T5" s="10"/>
      <c r="U5" s="10"/>
      <c r="V5" s="10"/>
      <c r="W5" s="10"/>
      <c r="X5" s="10"/>
      <c r="Y5" s="10"/>
      <c r="Z5" s="10"/>
      <c r="AA5" s="10"/>
      <c r="AB5" s="10"/>
    </row>
    <row r="6">
      <c r="A6" s="47"/>
      <c r="B6" s="47"/>
      <c r="C6" s="48"/>
      <c r="D6" s="48"/>
      <c r="E6" s="64"/>
      <c r="F6" s="64"/>
      <c r="G6" s="48"/>
      <c r="H6" s="48"/>
      <c r="I6" s="48"/>
      <c r="J6" s="48"/>
      <c r="K6" s="66"/>
      <c r="L6" s="66"/>
      <c r="M6" s="66"/>
      <c r="N6" s="66"/>
      <c r="O6" s="66"/>
      <c r="P6" s="66"/>
      <c r="Q6" s="66"/>
      <c r="R6" s="66"/>
      <c r="S6" s="48"/>
      <c r="T6" s="10"/>
      <c r="U6" s="10"/>
      <c r="V6" s="10"/>
      <c r="W6" s="10"/>
      <c r="X6" s="10"/>
      <c r="Y6" s="10"/>
      <c r="Z6" s="10"/>
      <c r="AA6" s="10"/>
      <c r="AB6" s="10"/>
    </row>
    <row r="7">
      <c r="A7" s="46" t="s">
        <v>37</v>
      </c>
      <c r="B7" s="68"/>
      <c r="C7" s="29" t="s">
        <v>38</v>
      </c>
      <c r="D7" s="29"/>
      <c r="E7" s="30"/>
      <c r="F7" s="31">
        <v>36653.0</v>
      </c>
      <c r="G7" s="32">
        <v>25.0</v>
      </c>
      <c r="H7" s="32">
        <v>25.0</v>
      </c>
      <c r="I7" s="32">
        <v>20202.0</v>
      </c>
      <c r="J7" s="33">
        <f>IF(OR(ISBLANK(G7), ISBLANK(H7), ISBLANK(I7)), "", ROUNDUP((G7/H7)*I7,0))
</f>
        <v>20202</v>
      </c>
      <c r="K7" s="34"/>
      <c r="L7" s="44">
        <f>SUM(J7,K7)</f>
        <v>20202</v>
      </c>
      <c r="M7" s="34"/>
      <c r="N7" s="34"/>
      <c r="O7" s="45">
        <v>1.0</v>
      </c>
      <c r="P7" s="45">
        <f>IF(O7 &gt; 0, L7 / (O7 * 100), 0)
</f>
        <v>202.02</v>
      </c>
      <c r="Q7" s="45">
        <f>IF(MINUS(L7, P7) = 0, "", MINUS(L7, P7))</f>
        <v>19999.98</v>
      </c>
      <c r="R7" s="45">
        <f>IF(SUM(S7,P7*-1, M7*-1) = 0, "", ROUNDUP(SUM(S7, P7*-1, M7*-1),0))</f>
        <v>20000</v>
      </c>
      <c r="S7" s="32">
        <f>IF(SUM(L7, N7) = 0, "", ROUNDUP(SUM(L7, N7),0))</f>
        <v>20202</v>
      </c>
      <c r="T7" s="29"/>
      <c r="U7" s="10"/>
      <c r="V7" s="10"/>
      <c r="W7" s="10"/>
      <c r="X7" s="10"/>
      <c r="Y7" s="10"/>
      <c r="Z7" s="10"/>
      <c r="AA7" s="10"/>
      <c r="AB7" s="10"/>
    </row>
    <row r="8">
      <c r="A8" s="48"/>
      <c r="B8" s="48"/>
      <c r="C8" s="48"/>
      <c r="D8" s="48"/>
      <c r="E8" s="64"/>
      <c r="F8" s="64"/>
      <c r="G8" s="48"/>
      <c r="H8" s="48"/>
      <c r="I8" s="48"/>
      <c r="J8" s="48"/>
      <c r="K8" s="66"/>
      <c r="L8" s="66"/>
      <c r="M8" s="66"/>
      <c r="N8" s="66"/>
      <c r="O8" s="66"/>
      <c r="P8" s="66"/>
      <c r="Q8" s="66"/>
      <c r="R8" s="66"/>
      <c r="S8" s="48"/>
      <c r="T8" s="10"/>
      <c r="U8" s="10"/>
      <c r="V8" s="10"/>
      <c r="W8" s="10"/>
      <c r="X8" s="10"/>
      <c r="Y8" s="10"/>
      <c r="Z8" s="10"/>
      <c r="AA8" s="10"/>
      <c r="AB8" s="10"/>
    </row>
    <row r="9">
      <c r="A9" s="46" t="s">
        <v>43</v>
      </c>
      <c r="B9" s="47"/>
      <c r="C9" s="48" t="s">
        <v>44</v>
      </c>
      <c r="D9" s="48"/>
      <c r="E9" s="64"/>
      <c r="F9" s="56">
        <v>36372.0</v>
      </c>
      <c r="G9" s="65">
        <v>25.0</v>
      </c>
      <c r="H9" s="65">
        <v>25.0</v>
      </c>
      <c r="I9" s="65">
        <v>20202.0</v>
      </c>
      <c r="J9" s="69">
        <f>IF(OR(ISBLANK(G9), ISBLANK(H9), ISBLANK(I9)), "", ROUNDUP((G9/H9)*I9,0))
</f>
        <v>20202</v>
      </c>
      <c r="K9" s="66"/>
      <c r="L9" s="70">
        <f>SUM(J9,K9)</f>
        <v>20202</v>
      </c>
      <c r="M9" s="66"/>
      <c r="N9" s="66"/>
      <c r="O9" s="71">
        <v>1.0</v>
      </c>
      <c r="P9" s="71">
        <f>IF(O9 &gt; 0, L9 / (O9 * 100), 0)
</f>
        <v>202.02</v>
      </c>
      <c r="Q9" s="71">
        <f>IF(MINUS(L9, P9) = 0, "", MINUS(L9, P9))</f>
        <v>19999.98</v>
      </c>
      <c r="R9" s="71">
        <f>IF(SUM(S9,P9*-1, M9*-1) = 0, "", ROUNDUP(SUM(S9, P9*-1, M9*-1),0))</f>
        <v>20000</v>
      </c>
      <c r="S9" s="65">
        <f>IF(SUM(L9, N9) = 0, "", ROUNDUP(SUM(L9, N9),0))</f>
        <v>20202</v>
      </c>
      <c r="T9" s="10"/>
      <c r="U9" s="10"/>
      <c r="V9" s="10"/>
      <c r="W9" s="10"/>
      <c r="X9" s="10"/>
      <c r="Y9" s="10"/>
      <c r="Z9" s="10"/>
      <c r="AA9" s="10"/>
      <c r="AB9" s="10"/>
    </row>
    <row r="10">
      <c r="A10" s="48"/>
      <c r="B10" s="48"/>
      <c r="C10" s="48"/>
      <c r="D10" s="48"/>
      <c r="E10" s="64"/>
      <c r="F10" s="64"/>
      <c r="G10" s="48"/>
      <c r="H10" s="48"/>
      <c r="I10" s="48"/>
      <c r="J10" s="48"/>
      <c r="K10" s="66"/>
      <c r="L10" s="66"/>
      <c r="M10" s="66"/>
      <c r="N10" s="66"/>
      <c r="O10" s="66"/>
      <c r="P10" s="66"/>
      <c r="Q10" s="66"/>
      <c r="R10" s="66"/>
      <c r="S10" s="48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47" t="s">
        <v>45</v>
      </c>
      <c r="B11" s="47"/>
      <c r="C11" s="48" t="s">
        <v>46</v>
      </c>
      <c r="D11" s="48"/>
      <c r="E11" s="64"/>
      <c r="F11" s="50">
        <v>36628.0</v>
      </c>
      <c r="G11" s="65">
        <v>25.0</v>
      </c>
      <c r="H11" s="65">
        <v>25.0</v>
      </c>
      <c r="I11" s="65">
        <v>20202.0</v>
      </c>
      <c r="J11" s="69">
        <f t="shared" ref="J11:J17" si="7">IF(OR(ISBLANK(G11), ISBLANK(H11), ISBLANK(I11)), "", ROUNDUP((G11/H11)*I11,0))
</f>
        <v>20202</v>
      </c>
      <c r="K11" s="66"/>
      <c r="L11" s="70">
        <f t="shared" ref="L11:L17" si="8">SUM(J11,K11)</f>
        <v>20202</v>
      </c>
      <c r="M11" s="72"/>
      <c r="N11" s="66"/>
      <c r="O11" s="71">
        <v>1.0</v>
      </c>
      <c r="P11" s="71">
        <f t="shared" ref="P11:P17" si="9">IF(O11 &gt; 0, L11 / (O11 * 100), 0)
</f>
        <v>202.02</v>
      </c>
      <c r="Q11" s="71">
        <f t="shared" ref="Q11:Q17" si="10">IF(MINUS(L11, P11) = 0, "", MINUS(L11, P11))</f>
        <v>19999.98</v>
      </c>
      <c r="R11" s="71">
        <f t="shared" ref="R11:R17" si="11">IF(SUM(S11,P11*-1, M11*-1) = 0, "", ROUNDUP(SUM(S11, P11*-1, M11*-1),0))</f>
        <v>20000</v>
      </c>
      <c r="S11" s="65">
        <f t="shared" ref="S11:S17" si="12">IF(SUM(L11, N11) = 0, "", ROUNDUP(SUM(L11, N11),0))</f>
        <v>20202</v>
      </c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57" t="s">
        <v>47</v>
      </c>
      <c r="B12" s="47"/>
      <c r="C12" s="48" t="s">
        <v>48</v>
      </c>
      <c r="D12" s="48"/>
      <c r="E12" s="64"/>
      <c r="F12" s="58">
        <v>36803.0</v>
      </c>
      <c r="G12" s="65">
        <v>25.0</v>
      </c>
      <c r="H12" s="65">
        <v>25.0</v>
      </c>
      <c r="I12" s="65">
        <v>20202.0</v>
      </c>
      <c r="J12" s="69">
        <f t="shared" si="7"/>
        <v>20202</v>
      </c>
      <c r="K12" s="66"/>
      <c r="L12" s="70">
        <f t="shared" si="8"/>
        <v>20202</v>
      </c>
      <c r="M12" s="72"/>
      <c r="N12" s="66"/>
      <c r="O12" s="71">
        <v>1.0</v>
      </c>
      <c r="P12" s="71">
        <f t="shared" si="9"/>
        <v>202.02</v>
      </c>
      <c r="Q12" s="71">
        <f t="shared" si="10"/>
        <v>19999.98</v>
      </c>
      <c r="R12" s="71">
        <f t="shared" si="11"/>
        <v>20000</v>
      </c>
      <c r="S12" s="65">
        <f t="shared" si="12"/>
        <v>20202</v>
      </c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47" t="s">
        <v>49</v>
      </c>
      <c r="B13" s="48"/>
      <c r="C13" s="48" t="s">
        <v>50</v>
      </c>
      <c r="D13" s="73" t="s">
        <v>54</v>
      </c>
      <c r="E13" s="64"/>
      <c r="F13" s="58">
        <v>35144.0</v>
      </c>
      <c r="G13" s="65">
        <v>25.0</v>
      </c>
      <c r="H13" s="65">
        <v>25.0</v>
      </c>
      <c r="I13" s="65">
        <v>40404.0</v>
      </c>
      <c r="J13" s="69">
        <f t="shared" si="7"/>
        <v>40404</v>
      </c>
      <c r="K13" s="66"/>
      <c r="L13" s="70">
        <f t="shared" si="8"/>
        <v>40404</v>
      </c>
      <c r="M13" s="72"/>
      <c r="N13" s="66"/>
      <c r="O13" s="71">
        <v>1.0</v>
      </c>
      <c r="P13" s="71">
        <f t="shared" si="9"/>
        <v>404.04</v>
      </c>
      <c r="Q13" s="71">
        <f t="shared" si="10"/>
        <v>39999.96</v>
      </c>
      <c r="R13" s="71">
        <f t="shared" si="11"/>
        <v>40000</v>
      </c>
      <c r="S13" s="65">
        <f t="shared" si="12"/>
        <v>40404</v>
      </c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48"/>
      <c r="B14" s="48"/>
      <c r="C14" s="48"/>
      <c r="D14" s="48"/>
      <c r="E14" s="64"/>
      <c r="F14" s="64"/>
      <c r="G14" s="48"/>
      <c r="H14" s="48"/>
      <c r="I14" s="48"/>
      <c r="J14" s="48" t="str">
        <f t="shared" si="7"/>
        <v/>
      </c>
      <c r="K14" s="66"/>
      <c r="L14" s="70">
        <f t="shared" si="8"/>
        <v>0</v>
      </c>
      <c r="M14" s="72"/>
      <c r="N14" s="66"/>
      <c r="O14" s="66"/>
      <c r="P14" s="71">
        <f t="shared" si="9"/>
        <v>0</v>
      </c>
      <c r="Q14" s="66" t="str">
        <f t="shared" si="10"/>
        <v/>
      </c>
      <c r="R14" s="66" t="str">
        <f t="shared" si="11"/>
        <v/>
      </c>
      <c r="S14" s="48" t="str">
        <f t="shared" si="12"/>
        <v/>
      </c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74" t="s">
        <v>55</v>
      </c>
      <c r="B15" s="69">
        <v>7.72852106171E11</v>
      </c>
      <c r="C15" s="73" t="s">
        <v>56</v>
      </c>
      <c r="D15" s="69">
        <v>5.0100449727293E13</v>
      </c>
      <c r="E15" s="75" t="s">
        <v>57</v>
      </c>
      <c r="F15" s="76">
        <v>35421.0</v>
      </c>
      <c r="G15" s="65">
        <v>25.0</v>
      </c>
      <c r="H15" s="65">
        <v>25.0</v>
      </c>
      <c r="I15" s="65">
        <v>40404.0</v>
      </c>
      <c r="J15" s="69">
        <f t="shared" si="7"/>
        <v>40404</v>
      </c>
      <c r="K15" s="66"/>
      <c r="L15" s="70">
        <f t="shared" si="8"/>
        <v>40404</v>
      </c>
      <c r="M15" s="72"/>
      <c r="N15" s="66"/>
      <c r="O15" s="71">
        <v>1.0</v>
      </c>
      <c r="P15" s="71">
        <f t="shared" si="9"/>
        <v>404.04</v>
      </c>
      <c r="Q15" s="71">
        <f t="shared" si="10"/>
        <v>39999.96</v>
      </c>
      <c r="R15" s="71">
        <f t="shared" si="11"/>
        <v>40000</v>
      </c>
      <c r="S15" s="65">
        <f t="shared" si="12"/>
        <v>40404</v>
      </c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74" t="s">
        <v>58</v>
      </c>
      <c r="B16" s="77">
        <v>4.49041349694E11</v>
      </c>
      <c r="C16" s="73" t="s">
        <v>59</v>
      </c>
      <c r="D16" s="69">
        <v>4.2780905327E10</v>
      </c>
      <c r="E16" s="75" t="s">
        <v>60</v>
      </c>
      <c r="F16" s="76">
        <v>38677.0</v>
      </c>
      <c r="G16" s="65">
        <v>25.0</v>
      </c>
      <c r="H16" s="65">
        <v>25.0</v>
      </c>
      <c r="I16" s="65">
        <v>20202.0</v>
      </c>
      <c r="J16" s="69">
        <f t="shared" si="7"/>
        <v>20202</v>
      </c>
      <c r="K16" s="66"/>
      <c r="L16" s="70">
        <f t="shared" si="8"/>
        <v>20202</v>
      </c>
      <c r="M16" s="72"/>
      <c r="N16" s="66"/>
      <c r="O16" s="71">
        <v>1.0</v>
      </c>
      <c r="P16" s="71">
        <f t="shared" si="9"/>
        <v>202.02</v>
      </c>
      <c r="Q16" s="71">
        <f t="shared" si="10"/>
        <v>19999.98</v>
      </c>
      <c r="R16" s="71">
        <f t="shared" si="11"/>
        <v>20000</v>
      </c>
      <c r="S16" s="65">
        <f t="shared" si="12"/>
        <v>20202</v>
      </c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73" t="s">
        <v>61</v>
      </c>
      <c r="B17" s="69">
        <v>3.15011803958E11</v>
      </c>
      <c r="C17" s="73" t="s">
        <v>62</v>
      </c>
      <c r="D17" s="69">
        <v>1.85100100024699E14</v>
      </c>
      <c r="E17" s="75" t="s">
        <v>63</v>
      </c>
      <c r="F17" s="76">
        <v>38995.0</v>
      </c>
      <c r="G17" s="65">
        <v>0.0</v>
      </c>
      <c r="H17" s="65">
        <v>25.0</v>
      </c>
      <c r="I17" s="65">
        <v>20202.0</v>
      </c>
      <c r="J17" s="69">
        <f t="shared" si="7"/>
        <v>0</v>
      </c>
      <c r="K17" s="66"/>
      <c r="L17" s="70">
        <f t="shared" si="8"/>
        <v>0</v>
      </c>
      <c r="M17" s="48"/>
      <c r="N17" s="66"/>
      <c r="O17" s="71">
        <v>1.0</v>
      </c>
      <c r="P17" s="71">
        <f t="shared" si="9"/>
        <v>0</v>
      </c>
      <c r="Q17" s="66" t="str">
        <f t="shared" si="10"/>
        <v/>
      </c>
      <c r="R17" s="66" t="str">
        <f t="shared" si="11"/>
        <v/>
      </c>
      <c r="S17" s="48" t="str">
        <f t="shared" si="12"/>
        <v/>
      </c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48"/>
      <c r="B18" s="48"/>
      <c r="C18" s="48"/>
      <c r="D18" s="48"/>
      <c r="E18" s="64"/>
      <c r="F18" s="64"/>
      <c r="G18" s="48"/>
      <c r="H18" s="48"/>
      <c r="I18" s="48"/>
      <c r="J18" s="48"/>
      <c r="K18" s="66"/>
      <c r="L18" s="66"/>
      <c r="M18" s="48"/>
      <c r="N18" s="66"/>
      <c r="O18" s="66"/>
      <c r="P18" s="66"/>
      <c r="Q18" s="66"/>
      <c r="R18" s="66"/>
      <c r="S18" s="48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73" t="s">
        <v>51</v>
      </c>
      <c r="B19" s="48"/>
      <c r="C19" s="48"/>
      <c r="D19" s="48"/>
      <c r="E19" s="78"/>
      <c r="F19" s="64"/>
      <c r="G19" s="48"/>
      <c r="H19" s="48"/>
      <c r="I19" s="48"/>
      <c r="J19" s="48"/>
      <c r="K19" s="66"/>
      <c r="L19" s="66"/>
      <c r="M19" s="48"/>
      <c r="N19" s="66"/>
      <c r="O19" s="66"/>
      <c r="P19" s="66"/>
      <c r="Q19" s="66"/>
      <c r="R19" s="66" t="str">
        <f>IF(SUM(S19,P19*-1, M19*-1) = 0, "", ROUNDUP(SUM(S19, P19*-1, M19*-1),0))</f>
        <v/>
      </c>
      <c r="S19" s="48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73" t="s">
        <v>29</v>
      </c>
      <c r="B20" s="48"/>
      <c r="C20" s="48"/>
      <c r="D20" s="48"/>
      <c r="E20" s="64"/>
      <c r="F20" s="64"/>
      <c r="G20" s="69">
        <f t="shared" ref="G20:S20" si="13">SUM(G3:G19)</f>
        <v>250</v>
      </c>
      <c r="H20" s="69">
        <f t="shared" si="13"/>
        <v>275</v>
      </c>
      <c r="I20" s="69">
        <f t="shared" si="13"/>
        <v>282828</v>
      </c>
      <c r="J20" s="69">
        <f t="shared" si="13"/>
        <v>262626</v>
      </c>
      <c r="K20" s="71">
        <f t="shared" si="13"/>
        <v>0</v>
      </c>
      <c r="L20" s="71">
        <f t="shared" si="13"/>
        <v>262626</v>
      </c>
      <c r="M20" s="71">
        <f t="shared" si="13"/>
        <v>0</v>
      </c>
      <c r="N20" s="71">
        <f t="shared" si="13"/>
        <v>0</v>
      </c>
      <c r="O20" s="71">
        <f t="shared" si="13"/>
        <v>11</v>
      </c>
      <c r="P20" s="71">
        <f t="shared" si="13"/>
        <v>2626.26</v>
      </c>
      <c r="Q20" s="71">
        <f t="shared" si="13"/>
        <v>259999.74</v>
      </c>
      <c r="R20" s="71">
        <f t="shared" si="13"/>
        <v>260000</v>
      </c>
      <c r="S20" s="69">
        <f t="shared" si="13"/>
        <v>262626</v>
      </c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0"/>
      <c r="B21" s="10"/>
      <c r="C21" s="10"/>
      <c r="D21" s="10"/>
      <c r="E21" s="11"/>
      <c r="F21" s="11"/>
      <c r="G21" s="10"/>
      <c r="H21" s="10"/>
      <c r="I21" s="10"/>
      <c r="J21" s="10"/>
      <c r="K21" s="12"/>
      <c r="L21" s="12"/>
      <c r="M21" s="60"/>
      <c r="N21" s="12"/>
      <c r="O21" s="12"/>
      <c r="P21" s="12"/>
      <c r="Q21" s="12"/>
      <c r="R21" s="28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48"/>
      <c r="B22" s="48"/>
      <c r="C22" s="48"/>
      <c r="D22" s="48"/>
      <c r="E22" s="11"/>
      <c r="F22" s="11"/>
      <c r="G22" s="10"/>
      <c r="H22" s="10"/>
      <c r="I22" s="10"/>
      <c r="J22" s="10"/>
      <c r="K22" s="12"/>
      <c r="L22" s="12"/>
      <c r="M22" s="12"/>
      <c r="N22" s="12"/>
      <c r="O22" s="12"/>
      <c r="P22" s="12"/>
      <c r="Q22" s="12"/>
      <c r="R22" s="28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48"/>
      <c r="B23" s="47"/>
      <c r="C23" s="47"/>
      <c r="D23" s="48"/>
      <c r="E23" s="11"/>
      <c r="F23" s="11"/>
      <c r="G23" s="10"/>
      <c r="H23" s="10"/>
      <c r="I23" s="10"/>
      <c r="J23" s="10"/>
      <c r="K23" s="12"/>
      <c r="L23" s="12"/>
      <c r="M23" s="10"/>
      <c r="N23" s="12"/>
      <c r="O23" s="12"/>
      <c r="P23" s="12"/>
      <c r="Q23" s="12"/>
      <c r="R23" s="28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48"/>
      <c r="B24" s="47"/>
      <c r="C24" s="47"/>
      <c r="D24" s="48"/>
      <c r="E24" s="11"/>
      <c r="F24" s="11"/>
      <c r="G24" s="10"/>
      <c r="H24" s="10"/>
      <c r="I24" s="10"/>
      <c r="J24" s="10"/>
      <c r="K24" s="12"/>
      <c r="L24" s="12"/>
      <c r="M24" s="10"/>
      <c r="N24" s="12"/>
      <c r="O24" s="12"/>
      <c r="P24" s="12"/>
      <c r="Q24" s="12"/>
      <c r="R24" s="28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48"/>
      <c r="B25" s="48"/>
      <c r="C25" s="48"/>
      <c r="D25" s="48"/>
      <c r="E25" s="11"/>
      <c r="F25" s="11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28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10"/>
      <c r="B26" s="10"/>
      <c r="C26" s="10"/>
      <c r="D26" s="10"/>
      <c r="E26" s="11"/>
      <c r="F26" s="11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28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10"/>
      <c r="B27" s="10"/>
      <c r="C27" s="10"/>
      <c r="D27" s="10"/>
      <c r="E27" s="11"/>
      <c r="F27" s="11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28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10"/>
      <c r="B28" s="10"/>
      <c r="C28" s="10"/>
      <c r="D28" s="10"/>
      <c r="E28" s="11"/>
      <c r="F28" s="11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28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10"/>
      <c r="B29" s="10"/>
      <c r="C29" s="10"/>
      <c r="D29" s="10"/>
      <c r="E29" s="11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28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10"/>
      <c r="B30" s="10"/>
      <c r="C30" s="10"/>
      <c r="D30" s="10"/>
      <c r="E30" s="11"/>
      <c r="F30" s="11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28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10"/>
      <c r="B31" s="10"/>
      <c r="C31" s="10"/>
      <c r="D31" s="10"/>
      <c r="E31" s="11"/>
      <c r="F31" s="11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28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10"/>
      <c r="B32" s="10"/>
      <c r="C32" s="10"/>
      <c r="D32" s="10"/>
      <c r="E32" s="11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28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0"/>
      <c r="B33" s="10"/>
      <c r="C33" s="10"/>
      <c r="D33" s="10"/>
      <c r="E33" s="11"/>
      <c r="F33" s="11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28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0"/>
      <c r="B34" s="10"/>
      <c r="C34" s="10"/>
      <c r="D34" s="10"/>
      <c r="E34" s="11"/>
      <c r="F34" s="11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28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10"/>
      <c r="B35" s="10"/>
      <c r="C35" s="10"/>
      <c r="D35" s="10"/>
      <c r="E35" s="11"/>
      <c r="F35" s="11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28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0"/>
      <c r="B36" s="10"/>
      <c r="C36" s="10"/>
      <c r="D36" s="10"/>
      <c r="E36" s="11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28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0"/>
      <c r="B37" s="10"/>
      <c r="C37" s="10"/>
      <c r="D37" s="10"/>
      <c r="E37" s="11"/>
      <c r="F37" s="11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28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10"/>
      <c r="B38" s="10"/>
      <c r="C38" s="10"/>
      <c r="D38" s="10"/>
      <c r="E38" s="11"/>
      <c r="F38" s="11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28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10"/>
      <c r="B39" s="10"/>
      <c r="C39" s="10"/>
      <c r="D39" s="10"/>
      <c r="E39" s="11"/>
      <c r="F39" s="11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8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10"/>
      <c r="B40" s="10"/>
      <c r="C40" s="10"/>
      <c r="D40" s="10"/>
      <c r="E40" s="11"/>
      <c r="F40" s="11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28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10"/>
      <c r="B41" s="10"/>
      <c r="C41" s="10"/>
      <c r="D41" s="10"/>
      <c r="E41" s="11"/>
      <c r="F41" s="11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28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10"/>
      <c r="B42" s="10"/>
      <c r="C42" s="10"/>
      <c r="D42" s="10"/>
      <c r="E42" s="11"/>
      <c r="F42" s="11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28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10"/>
      <c r="B43" s="10"/>
      <c r="C43" s="10"/>
      <c r="D43" s="10"/>
      <c r="E43" s="11"/>
      <c r="F43" s="11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28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0"/>
      <c r="B44" s="10"/>
      <c r="C44" s="10"/>
      <c r="D44" s="10"/>
      <c r="E44" s="11"/>
      <c r="F44" s="11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8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0"/>
      <c r="B45" s="10"/>
      <c r="C45" s="10"/>
      <c r="D45" s="10"/>
      <c r="E45" s="11"/>
      <c r="F45" s="11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28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0"/>
      <c r="B46" s="10"/>
      <c r="C46" s="10"/>
      <c r="D46" s="10"/>
      <c r="E46" s="11"/>
      <c r="F46" s="11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28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10"/>
      <c r="B47" s="10"/>
      <c r="C47" s="10"/>
      <c r="D47" s="10"/>
      <c r="E47" s="11"/>
      <c r="F47" s="11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28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10"/>
      <c r="B48" s="10"/>
      <c r="C48" s="10"/>
      <c r="D48" s="10"/>
      <c r="E48" s="11"/>
      <c r="F48" s="11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28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0"/>
      <c r="B49" s="10"/>
      <c r="C49" s="10"/>
      <c r="D49" s="10"/>
      <c r="E49" s="11"/>
      <c r="F49" s="11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28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10"/>
      <c r="B50" s="10"/>
      <c r="C50" s="10"/>
      <c r="D50" s="10"/>
      <c r="E50" s="11"/>
      <c r="F50" s="1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28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10"/>
      <c r="B51" s="10"/>
      <c r="C51" s="10"/>
      <c r="D51" s="10"/>
      <c r="E51" s="11"/>
      <c r="F51" s="11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28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0"/>
      <c r="B52" s="10"/>
      <c r="C52" s="10"/>
      <c r="D52" s="10"/>
      <c r="E52" s="11"/>
      <c r="F52" s="1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28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0"/>
      <c r="B53" s="10"/>
      <c r="C53" s="10"/>
      <c r="D53" s="10"/>
      <c r="E53" s="11"/>
      <c r="F53" s="1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28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10"/>
      <c r="B54" s="10"/>
      <c r="C54" s="10"/>
      <c r="D54" s="10"/>
      <c r="E54" s="11"/>
      <c r="F54" s="1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28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10"/>
      <c r="B55" s="10"/>
      <c r="C55" s="10"/>
      <c r="D55" s="10"/>
      <c r="E55" s="11"/>
      <c r="F55" s="1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28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0"/>
      <c r="B56" s="10"/>
      <c r="C56" s="10"/>
      <c r="D56" s="10"/>
      <c r="E56" s="11"/>
      <c r="F56" s="1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28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0"/>
      <c r="B57" s="10"/>
      <c r="C57" s="10"/>
      <c r="D57" s="10"/>
      <c r="E57" s="11"/>
      <c r="F57" s="1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28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0"/>
      <c r="B58" s="10"/>
      <c r="C58" s="10"/>
      <c r="D58" s="10"/>
      <c r="E58" s="11"/>
      <c r="F58" s="1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28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0"/>
      <c r="B59" s="10"/>
      <c r="C59" s="10"/>
      <c r="D59" s="10"/>
      <c r="E59" s="11"/>
      <c r="F59" s="1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28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0"/>
      <c r="B60" s="10"/>
      <c r="C60" s="10"/>
      <c r="D60" s="10"/>
      <c r="E60" s="11"/>
      <c r="F60" s="1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28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0"/>
      <c r="B61" s="10"/>
      <c r="C61" s="10"/>
      <c r="D61" s="10"/>
      <c r="E61" s="11"/>
      <c r="F61" s="1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28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0"/>
      <c r="B62" s="10"/>
      <c r="C62" s="10"/>
      <c r="D62" s="10"/>
      <c r="E62" s="11"/>
      <c r="F62" s="1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28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0"/>
      <c r="B63" s="10"/>
      <c r="C63" s="10"/>
      <c r="D63" s="10"/>
      <c r="E63" s="11"/>
      <c r="F63" s="1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28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0"/>
      <c r="B64" s="10"/>
      <c r="C64" s="10"/>
      <c r="D64" s="10"/>
      <c r="E64" s="11"/>
      <c r="F64" s="1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28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0"/>
      <c r="B65" s="10"/>
      <c r="C65" s="10"/>
      <c r="D65" s="10"/>
      <c r="E65" s="11"/>
      <c r="F65" s="1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28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0"/>
      <c r="B66" s="10"/>
      <c r="C66" s="10"/>
      <c r="D66" s="10"/>
      <c r="E66" s="11"/>
      <c r="F66" s="1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28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10"/>
      <c r="D67" s="10"/>
      <c r="E67" s="11"/>
      <c r="F67" s="1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28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0"/>
      <c r="B68" s="10"/>
      <c r="C68" s="10"/>
      <c r="D68" s="10"/>
      <c r="E68" s="11"/>
      <c r="F68" s="1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28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0"/>
      <c r="B69" s="10"/>
      <c r="C69" s="10"/>
      <c r="D69" s="10"/>
      <c r="E69" s="11"/>
      <c r="F69" s="1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28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0"/>
      <c r="B70" s="10"/>
      <c r="C70" s="10"/>
      <c r="D70" s="10"/>
      <c r="E70" s="11"/>
      <c r="F70" s="1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28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0"/>
      <c r="B71" s="10"/>
      <c r="C71" s="10"/>
      <c r="D71" s="10"/>
      <c r="E71" s="11"/>
      <c r="F71" s="1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28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0"/>
      <c r="B72" s="10"/>
      <c r="C72" s="10"/>
      <c r="D72" s="10"/>
      <c r="E72" s="11"/>
      <c r="F72" s="1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28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0"/>
      <c r="B73" s="10"/>
      <c r="C73" s="10"/>
      <c r="D73" s="10"/>
      <c r="E73" s="11"/>
      <c r="F73" s="1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28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0"/>
      <c r="B74" s="10"/>
      <c r="C74" s="10"/>
      <c r="D74" s="10"/>
      <c r="E74" s="11"/>
      <c r="F74" s="1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28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0"/>
      <c r="B75" s="10"/>
      <c r="C75" s="10"/>
      <c r="D75" s="10"/>
      <c r="E75" s="11"/>
      <c r="F75" s="1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28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0"/>
      <c r="B76" s="10"/>
      <c r="C76" s="10"/>
      <c r="D76" s="10"/>
      <c r="E76" s="11"/>
      <c r="F76" s="1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28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0"/>
      <c r="B77" s="10"/>
      <c r="C77" s="10"/>
      <c r="D77" s="10"/>
      <c r="E77" s="11"/>
      <c r="F77" s="1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28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0"/>
      <c r="B78" s="10"/>
      <c r="C78" s="10"/>
      <c r="D78" s="10"/>
      <c r="E78" s="11"/>
      <c r="F78" s="1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28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0"/>
      <c r="B79" s="10"/>
      <c r="C79" s="10"/>
      <c r="D79" s="10"/>
      <c r="E79" s="11"/>
      <c r="F79" s="1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28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0"/>
      <c r="B80" s="10"/>
      <c r="C80" s="10"/>
      <c r="D80" s="10"/>
      <c r="E80" s="11"/>
      <c r="F80" s="1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28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0"/>
      <c r="B81" s="10"/>
      <c r="C81" s="10"/>
      <c r="D81" s="10"/>
      <c r="E81" s="11"/>
      <c r="F81" s="1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28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10"/>
      <c r="B82" s="10"/>
      <c r="C82" s="10"/>
      <c r="D82" s="10"/>
      <c r="E82" s="11"/>
      <c r="F82" s="1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28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10"/>
      <c r="B83" s="10"/>
      <c r="C83" s="10"/>
      <c r="D83" s="10"/>
      <c r="E83" s="11"/>
      <c r="F83" s="1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28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10"/>
      <c r="B84" s="10"/>
      <c r="C84" s="10"/>
      <c r="D84" s="10"/>
      <c r="E84" s="11"/>
      <c r="F84" s="1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28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10"/>
      <c r="B85" s="10"/>
      <c r="C85" s="10"/>
      <c r="D85" s="10"/>
      <c r="E85" s="11"/>
      <c r="F85" s="1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28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10"/>
      <c r="B86" s="10"/>
      <c r="C86" s="10"/>
      <c r="D86" s="10"/>
      <c r="E86" s="11"/>
      <c r="F86" s="1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28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10"/>
      <c r="B87" s="10"/>
      <c r="C87" s="10"/>
      <c r="D87" s="10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28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0"/>
      <c r="B88" s="10"/>
      <c r="C88" s="10"/>
      <c r="D88" s="10"/>
      <c r="E88" s="11"/>
      <c r="F88" s="1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28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0"/>
      <c r="B89" s="10"/>
      <c r="C89" s="10"/>
      <c r="D89" s="10"/>
      <c r="E89" s="11"/>
      <c r="F89" s="1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28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0"/>
      <c r="B90" s="10"/>
      <c r="C90" s="10"/>
      <c r="D90" s="10"/>
      <c r="E90" s="11"/>
      <c r="F90" s="1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28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0"/>
      <c r="B91" s="10"/>
      <c r="C91" s="10"/>
      <c r="D91" s="10"/>
      <c r="E91" s="11"/>
      <c r="F91" s="1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28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0"/>
      <c r="B92" s="10"/>
      <c r="C92" s="10"/>
      <c r="D92" s="10"/>
      <c r="E92" s="11"/>
      <c r="F92" s="1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28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10"/>
      <c r="B93" s="10"/>
      <c r="C93" s="10"/>
      <c r="D93" s="10"/>
      <c r="E93" s="11"/>
      <c r="F93" s="1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28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0"/>
      <c r="B94" s="10"/>
      <c r="C94" s="10"/>
      <c r="D94" s="10"/>
      <c r="E94" s="11"/>
      <c r="F94" s="1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28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0"/>
      <c r="B95" s="10"/>
      <c r="C95" s="10"/>
      <c r="D95" s="10"/>
      <c r="E95" s="11"/>
      <c r="F95" s="1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28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10"/>
      <c r="B96" s="10"/>
      <c r="C96" s="10"/>
      <c r="D96" s="10"/>
      <c r="E96" s="11"/>
      <c r="F96" s="1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28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0"/>
      <c r="B97" s="10"/>
      <c r="C97" s="10"/>
      <c r="D97" s="10"/>
      <c r="E97" s="11"/>
      <c r="F97" s="1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28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10"/>
      <c r="B98" s="10"/>
      <c r="C98" s="10"/>
      <c r="D98" s="10"/>
      <c r="E98" s="11"/>
      <c r="F98" s="1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28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10"/>
      <c r="B99" s="10"/>
      <c r="C99" s="10"/>
      <c r="D99" s="10"/>
      <c r="E99" s="11"/>
      <c r="F99" s="1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28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0"/>
      <c r="B100" s="10"/>
      <c r="C100" s="10"/>
      <c r="D100" s="10"/>
      <c r="E100" s="11"/>
      <c r="F100" s="1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28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0"/>
      <c r="B101" s="10"/>
      <c r="C101" s="10"/>
      <c r="D101" s="10"/>
      <c r="E101" s="11"/>
      <c r="F101" s="1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28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0"/>
      <c r="B102" s="10"/>
      <c r="C102" s="10"/>
      <c r="D102" s="10"/>
      <c r="E102" s="11"/>
      <c r="F102" s="1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28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10"/>
      <c r="B103" s="10"/>
      <c r="C103" s="10"/>
      <c r="D103" s="10"/>
      <c r="E103" s="11"/>
      <c r="F103" s="1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28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0"/>
      <c r="B104" s="10"/>
      <c r="C104" s="10"/>
      <c r="D104" s="10"/>
      <c r="E104" s="11"/>
      <c r="F104" s="1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28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0"/>
      <c r="B105" s="10"/>
      <c r="C105" s="10"/>
      <c r="D105" s="10"/>
      <c r="E105" s="11"/>
      <c r="F105" s="1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28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0"/>
      <c r="B106" s="10"/>
      <c r="C106" s="10"/>
      <c r="D106" s="10"/>
      <c r="E106" s="11"/>
      <c r="F106" s="11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28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0"/>
      <c r="B107" s="10"/>
      <c r="C107" s="10"/>
      <c r="D107" s="10"/>
      <c r="E107" s="11"/>
      <c r="F107" s="11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28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0"/>
      <c r="B108" s="10"/>
      <c r="C108" s="10"/>
      <c r="D108" s="10"/>
      <c r="E108" s="11"/>
      <c r="F108" s="11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28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0"/>
      <c r="B109" s="10"/>
      <c r="C109" s="10"/>
      <c r="D109" s="10"/>
      <c r="E109" s="11"/>
      <c r="F109" s="11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28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10"/>
      <c r="B110" s="10"/>
      <c r="C110" s="10"/>
      <c r="D110" s="10"/>
      <c r="E110" s="11"/>
      <c r="F110" s="11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28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10"/>
      <c r="B111" s="10"/>
      <c r="C111" s="10"/>
      <c r="D111" s="10"/>
      <c r="E111" s="11"/>
      <c r="F111" s="1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28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10"/>
      <c r="B112" s="10"/>
      <c r="C112" s="10"/>
      <c r="D112" s="10"/>
      <c r="E112" s="11"/>
      <c r="F112" s="11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28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10"/>
      <c r="B113" s="10"/>
      <c r="C113" s="10"/>
      <c r="D113" s="10"/>
      <c r="E113" s="11"/>
      <c r="F113" s="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28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10"/>
      <c r="B114" s="10"/>
      <c r="C114" s="10"/>
      <c r="D114" s="10"/>
      <c r="E114" s="11"/>
      <c r="F114" s="11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28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10"/>
      <c r="B115" s="10"/>
      <c r="C115" s="10"/>
      <c r="D115" s="10"/>
      <c r="E115" s="11"/>
      <c r="F115" s="1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28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10"/>
      <c r="B116" s="10"/>
      <c r="C116" s="10"/>
      <c r="D116" s="10"/>
      <c r="E116" s="11"/>
      <c r="F116" s="11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28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10"/>
      <c r="B117" s="10"/>
      <c r="C117" s="10"/>
      <c r="D117" s="10"/>
      <c r="E117" s="11"/>
      <c r="F117" s="1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28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10"/>
      <c r="B118" s="10"/>
      <c r="C118" s="10"/>
      <c r="D118" s="10"/>
      <c r="E118" s="11"/>
      <c r="F118" s="11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28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10"/>
      <c r="B119" s="10"/>
      <c r="C119" s="10"/>
      <c r="D119" s="10"/>
      <c r="E119" s="11"/>
      <c r="F119" s="11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28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10"/>
      <c r="B120" s="10"/>
      <c r="C120" s="10"/>
      <c r="D120" s="10"/>
      <c r="E120" s="11"/>
      <c r="F120" s="11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28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10"/>
      <c r="B121" s="10"/>
      <c r="C121" s="10"/>
      <c r="D121" s="10"/>
      <c r="E121" s="11"/>
      <c r="F121" s="11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28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10"/>
      <c r="B122" s="10"/>
      <c r="C122" s="10"/>
      <c r="D122" s="10"/>
      <c r="E122" s="11"/>
      <c r="F122" s="11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28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10"/>
      <c r="B123" s="10"/>
      <c r="C123" s="10"/>
      <c r="D123" s="10"/>
      <c r="E123" s="11"/>
      <c r="F123" s="1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28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10"/>
      <c r="B124" s="10"/>
      <c r="C124" s="10"/>
      <c r="D124" s="10"/>
      <c r="E124" s="11"/>
      <c r="F124" s="11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28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10"/>
      <c r="B125" s="10"/>
      <c r="C125" s="10"/>
      <c r="D125" s="10"/>
      <c r="E125" s="11"/>
      <c r="F125" s="1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28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10"/>
      <c r="B126" s="10"/>
      <c r="C126" s="10"/>
      <c r="D126" s="10"/>
      <c r="E126" s="11"/>
      <c r="F126" s="11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28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10"/>
      <c r="B127" s="10"/>
      <c r="C127" s="10"/>
      <c r="D127" s="10"/>
      <c r="E127" s="11"/>
      <c r="F127" s="1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28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10"/>
      <c r="B128" s="10"/>
      <c r="C128" s="10"/>
      <c r="D128" s="10"/>
      <c r="E128" s="11"/>
      <c r="F128" s="11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28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10"/>
      <c r="B129" s="10"/>
      <c r="C129" s="10"/>
      <c r="D129" s="10"/>
      <c r="E129" s="11"/>
      <c r="F129" s="1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28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10"/>
      <c r="B130" s="10"/>
      <c r="C130" s="10"/>
      <c r="D130" s="10"/>
      <c r="E130" s="11"/>
      <c r="F130" s="11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28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10"/>
      <c r="B131" s="10"/>
      <c r="C131" s="10"/>
      <c r="D131" s="10"/>
      <c r="E131" s="11"/>
      <c r="F131" s="1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28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10"/>
      <c r="B132" s="10"/>
      <c r="C132" s="10"/>
      <c r="D132" s="10"/>
      <c r="E132" s="11"/>
      <c r="F132" s="11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28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10"/>
      <c r="B133" s="10"/>
      <c r="C133" s="10"/>
      <c r="D133" s="10"/>
      <c r="E133" s="11"/>
      <c r="F133" s="11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28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10"/>
      <c r="B134" s="10"/>
      <c r="C134" s="10"/>
      <c r="D134" s="10"/>
      <c r="E134" s="11"/>
      <c r="F134" s="11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28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10"/>
      <c r="B135" s="10"/>
      <c r="C135" s="10"/>
      <c r="D135" s="10"/>
      <c r="E135" s="11"/>
      <c r="F135" s="11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28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10"/>
      <c r="B136" s="10"/>
      <c r="C136" s="10"/>
      <c r="D136" s="10"/>
      <c r="E136" s="11"/>
      <c r="F136" s="11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28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10"/>
      <c r="B137" s="10"/>
      <c r="C137" s="10"/>
      <c r="D137" s="10"/>
      <c r="E137" s="11"/>
      <c r="F137" s="11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28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10"/>
      <c r="B138" s="10"/>
      <c r="C138" s="10"/>
      <c r="D138" s="10"/>
      <c r="E138" s="11"/>
      <c r="F138" s="11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28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10"/>
      <c r="B139" s="10"/>
      <c r="C139" s="10"/>
      <c r="D139" s="10"/>
      <c r="E139" s="11"/>
      <c r="F139" s="1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28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10"/>
      <c r="B140" s="10"/>
      <c r="C140" s="10"/>
      <c r="D140" s="10"/>
      <c r="E140" s="11"/>
      <c r="F140" s="11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28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10"/>
      <c r="B141" s="10"/>
      <c r="C141" s="10"/>
      <c r="D141" s="10"/>
      <c r="E141" s="11"/>
      <c r="F141" s="11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28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10"/>
      <c r="B142" s="10"/>
      <c r="C142" s="10"/>
      <c r="D142" s="10"/>
      <c r="E142" s="11"/>
      <c r="F142" s="11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28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10"/>
      <c r="B143" s="10"/>
      <c r="C143" s="10"/>
      <c r="D143" s="10"/>
      <c r="E143" s="11"/>
      <c r="F143" s="1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28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10"/>
      <c r="B144" s="10"/>
      <c r="C144" s="10"/>
      <c r="D144" s="10"/>
      <c r="E144" s="11"/>
      <c r="F144" s="11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28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10"/>
      <c r="B145" s="10"/>
      <c r="C145" s="10"/>
      <c r="D145" s="10"/>
      <c r="E145" s="11"/>
      <c r="F145" s="11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28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10"/>
      <c r="B146" s="10"/>
      <c r="C146" s="10"/>
      <c r="D146" s="10"/>
      <c r="E146" s="11"/>
      <c r="F146" s="11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28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10"/>
      <c r="B147" s="10"/>
      <c r="C147" s="10"/>
      <c r="D147" s="10"/>
      <c r="E147" s="11"/>
      <c r="F147" s="1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28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10"/>
      <c r="B148" s="10"/>
      <c r="C148" s="10"/>
      <c r="D148" s="10"/>
      <c r="E148" s="11"/>
      <c r="F148" s="11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28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10"/>
      <c r="B149" s="10"/>
      <c r="C149" s="10"/>
      <c r="D149" s="10"/>
      <c r="E149" s="11"/>
      <c r="F149" s="11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28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10"/>
      <c r="B150" s="10"/>
      <c r="C150" s="10"/>
      <c r="D150" s="10"/>
      <c r="E150" s="11"/>
      <c r="F150" s="11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28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10"/>
      <c r="B151" s="10"/>
      <c r="C151" s="10"/>
      <c r="D151" s="10"/>
      <c r="E151" s="11"/>
      <c r="F151" s="11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28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10"/>
      <c r="B152" s="10"/>
      <c r="C152" s="10"/>
      <c r="D152" s="10"/>
      <c r="E152" s="11"/>
      <c r="F152" s="11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28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10"/>
      <c r="B153" s="10"/>
      <c r="C153" s="10"/>
      <c r="D153" s="10"/>
      <c r="E153" s="11"/>
      <c r="F153" s="11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28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10"/>
      <c r="B154" s="10"/>
      <c r="C154" s="10"/>
      <c r="D154" s="10"/>
      <c r="E154" s="11"/>
      <c r="F154" s="11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28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10"/>
      <c r="B155" s="10"/>
      <c r="C155" s="10"/>
      <c r="D155" s="10"/>
      <c r="E155" s="11"/>
      <c r="F155" s="11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28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10"/>
      <c r="B156" s="10"/>
      <c r="C156" s="10"/>
      <c r="D156" s="10"/>
      <c r="E156" s="11"/>
      <c r="F156" s="11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28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10"/>
      <c r="B157" s="10"/>
      <c r="C157" s="10"/>
      <c r="D157" s="10"/>
      <c r="E157" s="11"/>
      <c r="F157" s="11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28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10"/>
      <c r="B158" s="10"/>
      <c r="C158" s="10"/>
      <c r="D158" s="10"/>
      <c r="E158" s="11"/>
      <c r="F158" s="11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28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10"/>
      <c r="B159" s="10"/>
      <c r="C159" s="10"/>
      <c r="D159" s="10"/>
      <c r="E159" s="11"/>
      <c r="F159" s="11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28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10"/>
      <c r="B160" s="10"/>
      <c r="C160" s="10"/>
      <c r="D160" s="10"/>
      <c r="E160" s="11"/>
      <c r="F160" s="11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28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10"/>
      <c r="B161" s="10"/>
      <c r="C161" s="10"/>
      <c r="D161" s="10"/>
      <c r="E161" s="11"/>
      <c r="F161" s="11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28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10"/>
      <c r="B162" s="10"/>
      <c r="C162" s="10"/>
      <c r="D162" s="10"/>
      <c r="E162" s="11"/>
      <c r="F162" s="11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28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10"/>
      <c r="B163" s="10"/>
      <c r="C163" s="10"/>
      <c r="D163" s="10"/>
      <c r="E163" s="11"/>
      <c r="F163" s="1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28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10"/>
      <c r="B164" s="10"/>
      <c r="C164" s="10"/>
      <c r="D164" s="10"/>
      <c r="E164" s="11"/>
      <c r="F164" s="11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28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10"/>
      <c r="B165" s="10"/>
      <c r="C165" s="10"/>
      <c r="D165" s="10"/>
      <c r="E165" s="11"/>
      <c r="F165" s="11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28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10"/>
      <c r="B166" s="10"/>
      <c r="C166" s="10"/>
      <c r="D166" s="10"/>
      <c r="E166" s="11"/>
      <c r="F166" s="11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28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10"/>
      <c r="B167" s="10"/>
      <c r="C167" s="10"/>
      <c r="D167" s="10"/>
      <c r="E167" s="11"/>
      <c r="F167" s="11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28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10"/>
      <c r="B168" s="10"/>
      <c r="C168" s="10"/>
      <c r="D168" s="10"/>
      <c r="E168" s="11"/>
      <c r="F168" s="11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28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10"/>
      <c r="B169" s="10"/>
      <c r="C169" s="10"/>
      <c r="D169" s="10"/>
      <c r="E169" s="11"/>
      <c r="F169" s="1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28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10"/>
      <c r="B170" s="10"/>
      <c r="C170" s="10"/>
      <c r="D170" s="10"/>
      <c r="E170" s="11"/>
      <c r="F170" s="11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28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10"/>
      <c r="B171" s="10"/>
      <c r="C171" s="10"/>
      <c r="D171" s="10"/>
      <c r="E171" s="11"/>
      <c r="F171" s="11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28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10"/>
      <c r="B172" s="10"/>
      <c r="C172" s="10"/>
      <c r="D172" s="10"/>
      <c r="E172" s="11"/>
      <c r="F172" s="11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28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10"/>
      <c r="B173" s="10"/>
      <c r="C173" s="10"/>
      <c r="D173" s="10"/>
      <c r="E173" s="11"/>
      <c r="F173" s="11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28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10"/>
      <c r="B174" s="10"/>
      <c r="C174" s="10"/>
      <c r="D174" s="10"/>
      <c r="E174" s="11"/>
      <c r="F174" s="11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28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10"/>
      <c r="B175" s="10"/>
      <c r="C175" s="10"/>
      <c r="D175" s="10"/>
      <c r="E175" s="11"/>
      <c r="F175" s="1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28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10"/>
      <c r="B176" s="10"/>
      <c r="C176" s="10"/>
      <c r="D176" s="10"/>
      <c r="E176" s="11"/>
      <c r="F176" s="1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28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10"/>
      <c r="B177" s="10"/>
      <c r="C177" s="10"/>
      <c r="D177" s="10"/>
      <c r="E177" s="11"/>
      <c r="F177" s="1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28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10"/>
      <c r="B178" s="10"/>
      <c r="C178" s="10"/>
      <c r="D178" s="10"/>
      <c r="E178" s="11"/>
      <c r="F178" s="11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28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10"/>
      <c r="B179" s="10"/>
      <c r="C179" s="10"/>
      <c r="D179" s="10"/>
      <c r="E179" s="11"/>
      <c r="F179" s="1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28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10"/>
      <c r="B180" s="10"/>
      <c r="C180" s="10"/>
      <c r="D180" s="10"/>
      <c r="E180" s="11"/>
      <c r="F180" s="11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28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10"/>
      <c r="B181" s="10"/>
      <c r="C181" s="10"/>
      <c r="D181" s="10"/>
      <c r="E181" s="11"/>
      <c r="F181" s="1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28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10"/>
      <c r="B182" s="10"/>
      <c r="C182" s="10"/>
      <c r="D182" s="10"/>
      <c r="E182" s="11"/>
      <c r="F182" s="11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28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10"/>
      <c r="B183" s="10"/>
      <c r="C183" s="10"/>
      <c r="D183" s="10"/>
      <c r="E183" s="11"/>
      <c r="F183" s="11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28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10"/>
      <c r="B184" s="10"/>
      <c r="C184" s="10"/>
      <c r="D184" s="10"/>
      <c r="E184" s="11"/>
      <c r="F184" s="11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28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10"/>
      <c r="B185" s="10"/>
      <c r="C185" s="10"/>
      <c r="D185" s="10"/>
      <c r="E185" s="11"/>
      <c r="F185" s="11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28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10"/>
      <c r="B186" s="10"/>
      <c r="C186" s="10"/>
      <c r="D186" s="10"/>
      <c r="E186" s="11"/>
      <c r="F186" s="11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28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10"/>
      <c r="B187" s="10"/>
      <c r="C187" s="10"/>
      <c r="D187" s="10"/>
      <c r="E187" s="11"/>
      <c r="F187" s="1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28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10"/>
      <c r="B188" s="10"/>
      <c r="C188" s="10"/>
      <c r="D188" s="10"/>
      <c r="E188" s="11"/>
      <c r="F188" s="11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28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10"/>
      <c r="B189" s="10"/>
      <c r="C189" s="10"/>
      <c r="D189" s="10"/>
      <c r="E189" s="11"/>
      <c r="F189" s="11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28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10"/>
      <c r="B190" s="10"/>
      <c r="C190" s="10"/>
      <c r="D190" s="10"/>
      <c r="E190" s="11"/>
      <c r="F190" s="11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28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10"/>
      <c r="B191" s="10"/>
      <c r="C191" s="10"/>
      <c r="D191" s="10"/>
      <c r="E191" s="11"/>
      <c r="F191" s="11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28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10"/>
      <c r="B192" s="10"/>
      <c r="C192" s="10"/>
      <c r="D192" s="10"/>
      <c r="E192" s="11"/>
      <c r="F192" s="11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28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10"/>
      <c r="B193" s="10"/>
      <c r="C193" s="10"/>
      <c r="D193" s="10"/>
      <c r="E193" s="11"/>
      <c r="F193" s="11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28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10"/>
      <c r="B194" s="10"/>
      <c r="C194" s="10"/>
      <c r="D194" s="10"/>
      <c r="E194" s="11"/>
      <c r="F194" s="11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28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10"/>
      <c r="B195" s="10"/>
      <c r="C195" s="10"/>
      <c r="D195" s="10"/>
      <c r="E195" s="11"/>
      <c r="F195" s="11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28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0"/>
      <c r="B196" s="10"/>
      <c r="C196" s="10"/>
      <c r="D196" s="10"/>
      <c r="E196" s="11"/>
      <c r="F196" s="11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28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0"/>
      <c r="B197" s="10"/>
      <c r="C197" s="10"/>
      <c r="D197" s="10"/>
      <c r="E197" s="11"/>
      <c r="F197" s="11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28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0"/>
      <c r="B198" s="10"/>
      <c r="C198" s="10"/>
      <c r="D198" s="10"/>
      <c r="E198" s="11"/>
      <c r="F198" s="11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28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0"/>
      <c r="B199" s="10"/>
      <c r="C199" s="10"/>
      <c r="D199" s="10"/>
      <c r="E199" s="11"/>
      <c r="F199" s="11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28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0"/>
      <c r="B200" s="10"/>
      <c r="C200" s="10"/>
      <c r="D200" s="10"/>
      <c r="E200" s="11"/>
      <c r="F200" s="11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28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10"/>
      <c r="D201" s="10"/>
      <c r="E201" s="11"/>
      <c r="F201" s="11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28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10"/>
      <c r="D202" s="10"/>
      <c r="E202" s="11"/>
      <c r="F202" s="11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28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10"/>
      <c r="D203" s="10"/>
      <c r="E203" s="11"/>
      <c r="F203" s="11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28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10"/>
      <c r="D204" s="10"/>
      <c r="E204" s="11"/>
      <c r="F204" s="11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28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10"/>
      <c r="D205" s="10"/>
      <c r="E205" s="11"/>
      <c r="F205" s="11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28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10"/>
      <c r="D206" s="10"/>
      <c r="E206" s="11"/>
      <c r="F206" s="11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28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10"/>
      <c r="D207" s="10"/>
      <c r="E207" s="11"/>
      <c r="F207" s="11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28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10"/>
      <c r="D208" s="10"/>
      <c r="E208" s="11"/>
      <c r="F208" s="11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28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10"/>
      <c r="D209" s="10"/>
      <c r="E209" s="11"/>
      <c r="F209" s="11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28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10"/>
      <c r="D210" s="10"/>
      <c r="E210" s="11"/>
      <c r="F210" s="11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28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10"/>
      <c r="D211" s="10"/>
      <c r="E211" s="11"/>
      <c r="F211" s="11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28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10"/>
      <c r="D212" s="10"/>
      <c r="E212" s="11"/>
      <c r="F212" s="11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28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10"/>
      <c r="D213" s="10"/>
      <c r="E213" s="11"/>
      <c r="F213" s="11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28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10"/>
      <c r="D214" s="10"/>
      <c r="E214" s="11"/>
      <c r="F214" s="11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28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10"/>
      <c r="E215" s="11"/>
      <c r="F215" s="11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28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10"/>
      <c r="E216" s="11"/>
      <c r="F216" s="11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28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10"/>
      <c r="E217" s="11"/>
      <c r="F217" s="11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28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10"/>
      <c r="E218" s="11"/>
      <c r="F218" s="11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28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10"/>
      <c r="E219" s="11"/>
      <c r="F219" s="11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28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10"/>
      <c r="E220" s="11"/>
      <c r="F220" s="11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28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10"/>
      <c r="E221" s="11"/>
      <c r="F221" s="11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28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10"/>
      <c r="E222" s="11"/>
      <c r="F222" s="11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28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10"/>
      <c r="E223" s="11"/>
      <c r="F223" s="11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28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1"/>
      <c r="F224" s="11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28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1"/>
      <c r="F225" s="11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28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1"/>
      <c r="F226" s="11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28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1"/>
      <c r="F227" s="11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28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1"/>
      <c r="F228" s="11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28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1"/>
      <c r="F229" s="11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28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1"/>
      <c r="F230" s="11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28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1"/>
      <c r="F231" s="11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28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1"/>
      <c r="F232" s="11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28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1"/>
      <c r="F233" s="11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28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1"/>
      <c r="F234" s="11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28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1"/>
      <c r="F235" s="11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28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1"/>
      <c r="F236" s="11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28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1"/>
      <c r="F237" s="11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28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1"/>
      <c r="F238" s="1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28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1"/>
      <c r="F239" s="1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28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1"/>
      <c r="F240" s="1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28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1"/>
      <c r="F241" s="1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28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1"/>
      <c r="F242" s="1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28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1"/>
      <c r="F243" s="1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28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1"/>
      <c r="F244" s="1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28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1"/>
      <c r="F245" s="1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28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1"/>
      <c r="F246" s="1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28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1"/>
      <c r="F247" s="1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28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1"/>
      <c r="F248" s="1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28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1"/>
      <c r="F249" s="1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28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1"/>
      <c r="F250" s="1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28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1"/>
      <c r="F251" s="1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28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1"/>
      <c r="F252" s="1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28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1"/>
      <c r="F253" s="1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28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1"/>
      <c r="F254" s="1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28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1"/>
      <c r="F255" s="1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28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1"/>
      <c r="F256" s="1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28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1"/>
      <c r="F257" s="1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28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1"/>
      <c r="F258" s="1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28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1"/>
      <c r="F259" s="1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28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1"/>
      <c r="F260" s="1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28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1"/>
      <c r="F261" s="1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28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1"/>
      <c r="F262" s="1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28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1"/>
      <c r="F263" s="1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28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1"/>
      <c r="F264" s="1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28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1"/>
      <c r="F265" s="1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28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1"/>
      <c r="F266" s="1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28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1"/>
      <c r="F267" s="1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28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1"/>
      <c r="F268" s="1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28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1"/>
      <c r="F269" s="1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28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1"/>
      <c r="F270" s="1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28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1"/>
      <c r="F271" s="1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28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1"/>
      <c r="F272" s="1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28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1"/>
      <c r="F273" s="1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28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1"/>
      <c r="F274" s="1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28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1"/>
      <c r="F275" s="1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28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1"/>
      <c r="F276" s="1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28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1"/>
      <c r="F277" s="1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28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1"/>
      <c r="F278" s="1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28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1"/>
      <c r="F279" s="1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28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1"/>
      <c r="F280" s="1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28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1"/>
      <c r="F281" s="1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28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1"/>
      <c r="F282" s="1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28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1"/>
      <c r="F283" s="1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28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1"/>
      <c r="F284" s="1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28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1"/>
      <c r="F285" s="1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28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1"/>
      <c r="F286" s="1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28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1"/>
      <c r="F287" s="1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28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1"/>
      <c r="F288" s="1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28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1"/>
      <c r="F289" s="1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28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1"/>
      <c r="F290" s="1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28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1"/>
      <c r="F291" s="1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28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1"/>
      <c r="F292" s="1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28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1"/>
      <c r="F293" s="1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28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1"/>
      <c r="F294" s="1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28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1"/>
      <c r="F295" s="1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28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1"/>
      <c r="F296" s="1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28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1"/>
      <c r="F297" s="1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28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1"/>
      <c r="F298" s="1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28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1"/>
      <c r="F299" s="1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28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1"/>
      <c r="F300" s="1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28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1"/>
      <c r="F301" s="1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28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1"/>
      <c r="F302" s="1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28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1"/>
      <c r="F303" s="1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28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1"/>
      <c r="F304" s="1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28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1"/>
      <c r="F305" s="1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28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1"/>
      <c r="F306" s="1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28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1"/>
      <c r="F307" s="1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28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1"/>
      <c r="F308" s="1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28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1"/>
      <c r="F309" s="1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28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1"/>
      <c r="F310" s="1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28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1"/>
      <c r="F311" s="1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28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1"/>
      <c r="F312" s="1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28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1"/>
      <c r="F313" s="1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28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1"/>
      <c r="F314" s="1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28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1"/>
      <c r="F315" s="1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28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1"/>
      <c r="F316" s="1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28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1"/>
      <c r="F317" s="1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28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1"/>
      <c r="F318" s="1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28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1"/>
      <c r="F319" s="1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28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1"/>
      <c r="F320" s="1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28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1"/>
      <c r="F321" s="1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28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1"/>
      <c r="F322" s="1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28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1"/>
      <c r="F323" s="1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28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1"/>
      <c r="F324" s="1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28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1"/>
      <c r="F325" s="1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28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1"/>
      <c r="F326" s="1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28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1"/>
      <c r="F327" s="1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28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1"/>
      <c r="F328" s="1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28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1"/>
      <c r="F329" s="1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28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1"/>
      <c r="F330" s="1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28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1"/>
      <c r="F331" s="1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28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1"/>
      <c r="F332" s="1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28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1"/>
      <c r="F333" s="1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28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1"/>
      <c r="F334" s="1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28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1"/>
      <c r="F335" s="1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28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1"/>
      <c r="F336" s="1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28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1"/>
      <c r="F337" s="1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28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1"/>
      <c r="F338" s="1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28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1"/>
      <c r="F339" s="1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28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1"/>
      <c r="F340" s="1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28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1"/>
      <c r="F341" s="1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28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1"/>
      <c r="F342" s="1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28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1"/>
      <c r="F343" s="1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28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1"/>
      <c r="F344" s="1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28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1"/>
      <c r="F345" s="1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28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1"/>
      <c r="F346" s="1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28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1"/>
      <c r="F347" s="1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28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1"/>
      <c r="F348" s="1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28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1"/>
      <c r="F349" s="1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28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1"/>
      <c r="F350" s="1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28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1"/>
      <c r="F351" s="1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28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1"/>
      <c r="F352" s="1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28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1"/>
      <c r="F353" s="1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28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1"/>
      <c r="F354" s="1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28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1"/>
      <c r="F355" s="1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28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1"/>
      <c r="F356" s="1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28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1"/>
      <c r="F357" s="1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28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1"/>
      <c r="F358" s="1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28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1"/>
      <c r="F359" s="1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28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1"/>
      <c r="F360" s="1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28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1"/>
      <c r="F361" s="1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28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1"/>
      <c r="F362" s="1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28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1"/>
      <c r="F363" s="1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28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1"/>
      <c r="F364" s="1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28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1"/>
      <c r="F365" s="1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28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1"/>
      <c r="F366" s="1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28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1"/>
      <c r="F367" s="1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28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1"/>
      <c r="F368" s="1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28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1"/>
      <c r="F369" s="1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28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1"/>
      <c r="F370" s="1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28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1"/>
      <c r="F371" s="1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28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1"/>
      <c r="F372" s="1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28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1"/>
      <c r="F373" s="1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28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1"/>
      <c r="F374" s="1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28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1"/>
      <c r="F375" s="1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28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1"/>
      <c r="F376" s="1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28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1"/>
      <c r="F377" s="1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28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1"/>
      <c r="F378" s="1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28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1"/>
      <c r="F379" s="1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28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1"/>
      <c r="F380" s="1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28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1"/>
      <c r="F381" s="1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28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1"/>
      <c r="F382" s="1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28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1"/>
      <c r="F383" s="1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28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1"/>
      <c r="F384" s="1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28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1"/>
      <c r="F385" s="1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28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1"/>
      <c r="F386" s="1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28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1"/>
      <c r="F387" s="1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28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1"/>
      <c r="F388" s="1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28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1"/>
      <c r="F389" s="1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28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1"/>
      <c r="F390" s="1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28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1"/>
      <c r="F391" s="1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28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1"/>
      <c r="F392" s="1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28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1"/>
      <c r="F393" s="1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28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1"/>
      <c r="F394" s="1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28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1"/>
      <c r="F395" s="1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28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1"/>
      <c r="F396" s="1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28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1"/>
      <c r="F397" s="1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28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1"/>
      <c r="F398" s="1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28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1"/>
      <c r="F399" s="1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28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1"/>
      <c r="F400" s="1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28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1"/>
      <c r="F401" s="1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28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1"/>
      <c r="F402" s="1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28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1"/>
      <c r="F403" s="1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28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1"/>
      <c r="F404" s="1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28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1"/>
      <c r="F405" s="1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28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1"/>
      <c r="F406" s="1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28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1"/>
      <c r="F407" s="1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28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1"/>
      <c r="F408" s="1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28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1"/>
      <c r="F409" s="1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28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1"/>
      <c r="F410" s="1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28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1"/>
      <c r="F411" s="1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28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1"/>
      <c r="F412" s="1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28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1"/>
      <c r="F413" s="1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28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1"/>
      <c r="F414" s="11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28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1"/>
      <c r="F415" s="11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28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1"/>
      <c r="F416" s="11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28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1"/>
      <c r="F417" s="11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28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1"/>
      <c r="F418" s="11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28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1"/>
      <c r="F419" s="11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28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1"/>
      <c r="F420" s="11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28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1"/>
      <c r="F421" s="11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28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1"/>
      <c r="F422" s="11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28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1"/>
      <c r="F423" s="11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28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1"/>
      <c r="F424" s="11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28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1"/>
      <c r="F425" s="11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28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1"/>
      <c r="F426" s="11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28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1"/>
      <c r="F427" s="11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28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1"/>
      <c r="F428" s="11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28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1"/>
      <c r="F429" s="11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28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1"/>
      <c r="F430" s="11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28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1"/>
      <c r="F431" s="11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28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1"/>
      <c r="F432" s="11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28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1"/>
      <c r="F433" s="11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28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1"/>
      <c r="F434" s="11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28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1"/>
      <c r="F435" s="11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28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1"/>
      <c r="F436" s="11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28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1"/>
      <c r="F437" s="11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28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1"/>
      <c r="F438" s="11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28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1"/>
      <c r="F439" s="11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28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1"/>
      <c r="F440" s="11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28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1"/>
      <c r="F441" s="11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28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1"/>
      <c r="F442" s="11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28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1"/>
      <c r="F443" s="11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28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1"/>
      <c r="F444" s="11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28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1"/>
      <c r="F445" s="11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28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1"/>
      <c r="F446" s="11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28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1"/>
      <c r="F447" s="11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28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1"/>
      <c r="F448" s="11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28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1"/>
      <c r="F449" s="11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28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1"/>
      <c r="F450" s="11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28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1"/>
      <c r="F451" s="11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28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1"/>
      <c r="F452" s="11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28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1"/>
      <c r="F453" s="11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28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1"/>
      <c r="F454" s="11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28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1"/>
      <c r="F455" s="11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28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1"/>
      <c r="F456" s="11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28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1"/>
      <c r="F457" s="11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28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1"/>
      <c r="F458" s="11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28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1"/>
      <c r="F459" s="11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28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1"/>
      <c r="F460" s="11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28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1"/>
      <c r="F461" s="11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28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1"/>
      <c r="F462" s="11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28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1"/>
      <c r="F463" s="11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28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1"/>
      <c r="F464" s="11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28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1"/>
      <c r="F465" s="11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28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1"/>
      <c r="F466" s="11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28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1"/>
      <c r="F467" s="11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28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1"/>
      <c r="F468" s="11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28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1"/>
      <c r="F469" s="11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28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1"/>
      <c r="F470" s="11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28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1"/>
      <c r="F471" s="11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28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1"/>
      <c r="F472" s="11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28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1"/>
      <c r="F473" s="11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28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1"/>
      <c r="F474" s="11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28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1"/>
      <c r="F475" s="11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28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1"/>
      <c r="F476" s="11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28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1"/>
      <c r="F477" s="11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28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1"/>
      <c r="F478" s="11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28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1"/>
      <c r="F479" s="11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28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1"/>
      <c r="F480" s="11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28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1"/>
      <c r="F481" s="11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28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1"/>
      <c r="F482" s="11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28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1"/>
      <c r="F483" s="11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28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1"/>
      <c r="F484" s="11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28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1"/>
      <c r="F485" s="11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28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1"/>
      <c r="F486" s="11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28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1"/>
      <c r="F487" s="11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28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1"/>
      <c r="F488" s="11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28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1"/>
      <c r="F489" s="11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28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1"/>
      <c r="F490" s="11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28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1"/>
      <c r="F491" s="11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28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1"/>
      <c r="F492" s="11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28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1"/>
      <c r="F493" s="11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28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1"/>
      <c r="F494" s="11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28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1"/>
      <c r="F495" s="11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28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1"/>
      <c r="F496" s="11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28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1"/>
      <c r="F497" s="11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28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1"/>
      <c r="F498" s="11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28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1"/>
      <c r="F499" s="11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28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1"/>
      <c r="F500" s="11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28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1"/>
      <c r="F501" s="11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28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1"/>
      <c r="F502" s="11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28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1"/>
      <c r="F503" s="11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28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1"/>
      <c r="F504" s="11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28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1"/>
      <c r="F505" s="11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28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1"/>
      <c r="F506" s="11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28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1"/>
      <c r="F507" s="11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28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1"/>
      <c r="F508" s="11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28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1"/>
      <c r="F509" s="11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28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1"/>
      <c r="F510" s="11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28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1"/>
      <c r="F511" s="11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28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1"/>
      <c r="F512" s="11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28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1"/>
      <c r="F513" s="11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28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1"/>
      <c r="F514" s="11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28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1"/>
      <c r="F515" s="11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28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1"/>
      <c r="F516" s="11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28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1"/>
      <c r="F517" s="11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28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1"/>
      <c r="F518" s="11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28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1"/>
      <c r="F519" s="11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28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1"/>
      <c r="F520" s="11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28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1"/>
      <c r="F521" s="11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28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1"/>
      <c r="F522" s="11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28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1"/>
      <c r="F523" s="11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28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1"/>
      <c r="F524" s="11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28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1"/>
      <c r="F525" s="11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28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1"/>
      <c r="F526" s="11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28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1"/>
      <c r="F527" s="11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28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1"/>
      <c r="F528" s="11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28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1"/>
      <c r="F529" s="11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28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1"/>
      <c r="F530" s="11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28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1"/>
      <c r="F531" s="11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28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1"/>
      <c r="F532" s="11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28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1"/>
      <c r="F533" s="11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28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1"/>
      <c r="F534" s="11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28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1"/>
      <c r="F535" s="11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28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1"/>
      <c r="F536" s="11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28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1"/>
      <c r="F537" s="11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28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1"/>
      <c r="F538" s="11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28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1"/>
      <c r="F539" s="11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28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1"/>
      <c r="F540" s="11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28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1"/>
      <c r="F541" s="11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28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1"/>
      <c r="F542" s="11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28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1"/>
      <c r="F543" s="11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28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1"/>
      <c r="F544" s="11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28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1"/>
      <c r="F545" s="11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28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1"/>
      <c r="F546" s="11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28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1"/>
      <c r="F547" s="11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28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1"/>
      <c r="F548" s="11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28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1"/>
      <c r="F549" s="11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28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1"/>
      <c r="F550" s="11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28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1"/>
      <c r="F551" s="11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28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1"/>
      <c r="F552" s="11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28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1"/>
      <c r="F553" s="11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28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1"/>
      <c r="F554" s="11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28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1"/>
      <c r="F555" s="11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28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1"/>
      <c r="F556" s="11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28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1"/>
      <c r="F557" s="11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28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1"/>
      <c r="F558" s="11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28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1"/>
      <c r="F559" s="11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28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1"/>
      <c r="F560" s="11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28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1"/>
      <c r="F561" s="11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28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1"/>
      <c r="F562" s="11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28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1"/>
      <c r="F563" s="11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28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1"/>
      <c r="F564" s="11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28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1"/>
      <c r="F565" s="11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28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1"/>
      <c r="F566" s="11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28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1"/>
      <c r="F567" s="11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28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1"/>
      <c r="F568" s="11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28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1"/>
      <c r="F569" s="11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28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1"/>
      <c r="F570" s="11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28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1"/>
      <c r="F571" s="11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28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1"/>
      <c r="F572" s="11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28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1"/>
      <c r="F573" s="11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28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1"/>
      <c r="F574" s="11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28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1"/>
      <c r="F575" s="11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28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1"/>
      <c r="F576" s="11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28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1"/>
      <c r="F577" s="11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28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1"/>
      <c r="F578" s="11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28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1"/>
      <c r="F579" s="11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28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1"/>
      <c r="F580" s="11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28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1"/>
      <c r="F581" s="11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28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1"/>
      <c r="F582" s="11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28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1"/>
      <c r="F583" s="11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28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1"/>
      <c r="F584" s="11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28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1"/>
      <c r="F585" s="11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28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1"/>
      <c r="F586" s="11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28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1"/>
      <c r="F587" s="11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28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1"/>
      <c r="F588" s="11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28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1"/>
      <c r="F589" s="11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28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1"/>
      <c r="F590" s="11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28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1"/>
      <c r="F591" s="11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28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1"/>
      <c r="F592" s="11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28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1"/>
      <c r="F593" s="11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28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1"/>
      <c r="F594" s="11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28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1"/>
      <c r="F595" s="11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28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1"/>
      <c r="F596" s="11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28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1"/>
      <c r="F597" s="11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28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1"/>
      <c r="F598" s="11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28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1"/>
      <c r="F599" s="11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28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1"/>
      <c r="F600" s="11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28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1"/>
      <c r="F601" s="11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28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1"/>
      <c r="F602" s="11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28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1"/>
      <c r="F603" s="11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28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1"/>
      <c r="F604" s="11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28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1"/>
      <c r="F605" s="11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28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1"/>
      <c r="F606" s="11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28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1"/>
      <c r="F607" s="11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28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1"/>
      <c r="F608" s="11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28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1"/>
      <c r="F609" s="11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28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1"/>
      <c r="F610" s="11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28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1"/>
      <c r="F611" s="11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28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1"/>
      <c r="F612" s="11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28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1"/>
      <c r="F613" s="11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28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1"/>
      <c r="F614" s="11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28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1"/>
      <c r="F615" s="11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28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1"/>
      <c r="F616" s="11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28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1"/>
      <c r="F617" s="11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28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1"/>
      <c r="F618" s="11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28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1"/>
      <c r="F619" s="11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28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1"/>
      <c r="F620" s="11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28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1"/>
      <c r="F621" s="11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28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1"/>
      <c r="F622" s="11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28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1"/>
      <c r="F623" s="11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28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1"/>
      <c r="F624" s="11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28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1"/>
      <c r="F625" s="11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28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1"/>
      <c r="F626" s="11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28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1"/>
      <c r="F627" s="11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28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1"/>
      <c r="F628" s="11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28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1"/>
      <c r="F629" s="11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28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1"/>
      <c r="F630" s="11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28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1"/>
      <c r="F631" s="11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28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1"/>
      <c r="F632" s="11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28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1"/>
      <c r="F633" s="11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28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1"/>
      <c r="F634" s="11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28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1"/>
      <c r="F635" s="11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28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1"/>
      <c r="F636" s="11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28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1"/>
      <c r="F637" s="11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28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1"/>
      <c r="F638" s="11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28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1"/>
      <c r="F639" s="11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28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1"/>
      <c r="F640" s="11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28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1"/>
      <c r="F641" s="11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28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1"/>
      <c r="F642" s="11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28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1"/>
      <c r="F643" s="11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28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1"/>
      <c r="F644" s="11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28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1"/>
      <c r="F645" s="11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28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1"/>
      <c r="F646" s="11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28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1"/>
      <c r="F647" s="11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28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1"/>
      <c r="F648" s="11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28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1"/>
      <c r="F649" s="11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28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1"/>
      <c r="F650" s="11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28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1"/>
      <c r="F651" s="11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28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1"/>
      <c r="F652" s="11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28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1"/>
      <c r="F653" s="11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28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1"/>
      <c r="F654" s="11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28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1"/>
      <c r="F655" s="11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28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1"/>
      <c r="F656" s="11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28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1"/>
      <c r="F657" s="11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28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1"/>
      <c r="F658" s="11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28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1"/>
      <c r="F659" s="11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28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1"/>
      <c r="F660" s="11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28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1"/>
      <c r="F661" s="11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28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1"/>
      <c r="F662" s="11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28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1"/>
      <c r="F663" s="11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28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1"/>
      <c r="F664" s="11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28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1"/>
      <c r="F665" s="11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28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1"/>
      <c r="F666" s="11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28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1"/>
      <c r="F667" s="11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28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1"/>
      <c r="F668" s="11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28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1"/>
      <c r="F669" s="11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28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1"/>
      <c r="F670" s="11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28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1"/>
      <c r="F671" s="11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28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1"/>
      <c r="F672" s="11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28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1"/>
      <c r="F673" s="11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28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1"/>
      <c r="F674" s="11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28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1"/>
      <c r="F675" s="11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28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1"/>
      <c r="F676" s="11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28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1"/>
      <c r="F677" s="11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28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1"/>
      <c r="F678" s="11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28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1"/>
      <c r="F679" s="11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28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1"/>
      <c r="F680" s="11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28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1"/>
      <c r="F681" s="11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28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1"/>
      <c r="F682" s="11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28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1"/>
      <c r="F683" s="11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28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1"/>
      <c r="F684" s="11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28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1"/>
      <c r="F685" s="11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28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1"/>
      <c r="F686" s="11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28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1"/>
      <c r="F687" s="11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28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1"/>
      <c r="F688" s="11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28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1"/>
      <c r="F689" s="11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28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1"/>
      <c r="F690" s="11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28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1"/>
      <c r="F691" s="11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28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1"/>
      <c r="F692" s="11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28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1"/>
      <c r="F693" s="11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28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1"/>
      <c r="F694" s="11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28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1"/>
      <c r="F695" s="11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28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1"/>
      <c r="F696" s="11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28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1"/>
      <c r="F697" s="11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28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1"/>
      <c r="F698" s="11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28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1"/>
      <c r="F699" s="11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28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1"/>
      <c r="F700" s="11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28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1"/>
      <c r="F701" s="11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28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1"/>
      <c r="F702" s="11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28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1"/>
      <c r="F703" s="11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28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1"/>
      <c r="F704" s="11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28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1"/>
      <c r="F705" s="11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28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1"/>
      <c r="F706" s="11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28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1"/>
      <c r="F707" s="11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28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1"/>
      <c r="F708" s="11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28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1"/>
      <c r="F709" s="11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28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1"/>
      <c r="F710" s="11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28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1"/>
      <c r="F711" s="11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28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1"/>
      <c r="F712" s="11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28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1"/>
      <c r="F713" s="11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28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1"/>
      <c r="F714" s="11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28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1"/>
      <c r="F715" s="11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28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1"/>
      <c r="F716" s="11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28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1"/>
      <c r="F717" s="11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28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1"/>
      <c r="F718" s="11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28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1"/>
      <c r="F719" s="11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28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1"/>
      <c r="F720" s="11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28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1"/>
      <c r="F721" s="11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28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1"/>
      <c r="F722" s="11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28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1"/>
      <c r="F723" s="11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28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1"/>
      <c r="F724" s="11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28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1"/>
      <c r="F725" s="11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28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1"/>
      <c r="F726" s="11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28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1"/>
      <c r="F727" s="11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28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1"/>
      <c r="F728" s="11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28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1"/>
      <c r="F729" s="11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28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1"/>
      <c r="F730" s="11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28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1"/>
      <c r="F731" s="11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28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1"/>
      <c r="F732" s="11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28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1"/>
      <c r="F733" s="11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28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1"/>
      <c r="F734" s="11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28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1"/>
      <c r="F735" s="11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28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1"/>
      <c r="F736" s="11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28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1"/>
      <c r="F737" s="11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28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1"/>
      <c r="F738" s="11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28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1"/>
      <c r="F739" s="11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28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1"/>
      <c r="F740" s="11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28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1"/>
      <c r="F741" s="11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28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1"/>
      <c r="F742" s="11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28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1"/>
      <c r="F743" s="11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28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1"/>
      <c r="F744" s="11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28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1"/>
      <c r="F745" s="11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28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1"/>
      <c r="F746" s="11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28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1"/>
      <c r="F747" s="11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28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1"/>
      <c r="F748" s="11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28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1"/>
      <c r="F749" s="11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28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1"/>
      <c r="F750" s="11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28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1"/>
      <c r="F751" s="11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28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1"/>
      <c r="F752" s="11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28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1"/>
      <c r="F753" s="11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28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1"/>
      <c r="F754" s="11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28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1"/>
      <c r="F755" s="11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28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1"/>
      <c r="F756" s="11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28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1"/>
      <c r="F757" s="11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28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1"/>
      <c r="F758" s="11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28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1"/>
      <c r="F759" s="11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28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1"/>
      <c r="F760" s="11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28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1"/>
      <c r="F761" s="11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28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1"/>
      <c r="F762" s="11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28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1"/>
      <c r="F763" s="11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28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1"/>
      <c r="F764" s="11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28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1"/>
      <c r="F765" s="11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28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1"/>
      <c r="F766" s="11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28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1"/>
      <c r="F767" s="11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28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1"/>
      <c r="F768" s="11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28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1"/>
      <c r="F769" s="11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28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1"/>
      <c r="F770" s="11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28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1"/>
      <c r="F771" s="11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28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1"/>
      <c r="F772" s="11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28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1"/>
      <c r="F773" s="11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28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1"/>
      <c r="F774" s="11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28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1"/>
      <c r="F775" s="11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28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1"/>
      <c r="F776" s="11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28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1"/>
      <c r="F777" s="11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28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1"/>
      <c r="F778" s="11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28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1"/>
      <c r="F779" s="11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28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1"/>
      <c r="F780" s="11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28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1"/>
      <c r="F781" s="11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28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1"/>
      <c r="F782" s="11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28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1"/>
      <c r="F783" s="11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28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1"/>
      <c r="F784" s="11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28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1"/>
      <c r="F785" s="11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28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1"/>
      <c r="F786" s="11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28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1"/>
      <c r="F787" s="11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28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1"/>
      <c r="F788" s="11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28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1"/>
      <c r="F789" s="11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28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1"/>
      <c r="F790" s="11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28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1"/>
      <c r="F791" s="11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28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1"/>
      <c r="F792" s="11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28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1"/>
      <c r="F793" s="11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28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1"/>
      <c r="F794" s="11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28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1"/>
      <c r="F795" s="11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28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1"/>
      <c r="F796" s="11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28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1"/>
      <c r="F797" s="11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28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1"/>
      <c r="F798" s="11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28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1"/>
      <c r="F799" s="11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28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1"/>
      <c r="F800" s="11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28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1"/>
      <c r="F801" s="11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28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1"/>
      <c r="F802" s="11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28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1"/>
      <c r="F803" s="11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28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1"/>
      <c r="F804" s="11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28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1"/>
      <c r="F805" s="11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28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1"/>
      <c r="F806" s="11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28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1"/>
      <c r="F807" s="11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28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1"/>
      <c r="F808" s="11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28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1"/>
      <c r="F809" s="11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28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1"/>
      <c r="F810" s="11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28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1"/>
      <c r="F811" s="11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28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1"/>
      <c r="F812" s="11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28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1"/>
      <c r="F813" s="11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28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1"/>
      <c r="F814" s="11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28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1"/>
      <c r="F815" s="11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28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1"/>
      <c r="F816" s="11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28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1"/>
      <c r="F817" s="11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28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1"/>
      <c r="F818" s="11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28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1"/>
      <c r="F819" s="11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28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1"/>
      <c r="F820" s="11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28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1"/>
      <c r="F821" s="11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28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1"/>
      <c r="F822" s="11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28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1"/>
      <c r="F823" s="11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28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1"/>
      <c r="F824" s="11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28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1"/>
      <c r="F825" s="11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28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1"/>
      <c r="F826" s="11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28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1"/>
      <c r="F827" s="11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28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1"/>
      <c r="F828" s="11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28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1"/>
      <c r="F829" s="11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28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1"/>
      <c r="F830" s="11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28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1"/>
      <c r="F831" s="11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28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1"/>
      <c r="F832" s="11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28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1"/>
      <c r="F833" s="11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28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1"/>
      <c r="F834" s="11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28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1"/>
      <c r="F835" s="11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28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1"/>
      <c r="F836" s="11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28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1"/>
      <c r="F837" s="11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28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1"/>
      <c r="F838" s="11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28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1"/>
      <c r="F839" s="11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28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1"/>
      <c r="F840" s="11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28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1"/>
      <c r="F841" s="11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28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1"/>
      <c r="F842" s="11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28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1"/>
      <c r="F843" s="11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28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1"/>
      <c r="F844" s="11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28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1"/>
      <c r="F845" s="11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28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1"/>
      <c r="F846" s="11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28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1"/>
      <c r="F847" s="11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28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1"/>
      <c r="F848" s="11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28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1"/>
      <c r="F849" s="11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28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1"/>
      <c r="F850" s="11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28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1"/>
      <c r="F851" s="11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28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1"/>
      <c r="F852" s="11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28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1"/>
      <c r="F853" s="11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28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1"/>
      <c r="F854" s="11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28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1"/>
      <c r="F855" s="11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28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1"/>
      <c r="F856" s="11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28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1"/>
      <c r="F857" s="11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28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1"/>
      <c r="F858" s="11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28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1"/>
      <c r="F859" s="11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28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1"/>
      <c r="F860" s="11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28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1"/>
      <c r="F861" s="11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28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1"/>
      <c r="F862" s="11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28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1"/>
      <c r="F863" s="11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28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1"/>
      <c r="F864" s="11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28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1"/>
      <c r="F865" s="11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28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1"/>
      <c r="F866" s="11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28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1"/>
      <c r="F867" s="11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28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1"/>
      <c r="F868" s="11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28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1"/>
      <c r="F869" s="11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28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1"/>
      <c r="F870" s="11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28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1"/>
      <c r="F871" s="11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28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1"/>
      <c r="F872" s="11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28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1"/>
      <c r="F873" s="11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28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1"/>
      <c r="F874" s="11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28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1"/>
      <c r="F875" s="11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28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1"/>
      <c r="F876" s="11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28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1"/>
      <c r="F877" s="11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28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1"/>
      <c r="F878" s="11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28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1"/>
      <c r="F879" s="11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28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1"/>
      <c r="F880" s="11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28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1"/>
      <c r="F881" s="11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28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1"/>
      <c r="F882" s="11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28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1"/>
      <c r="F883" s="11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28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1"/>
      <c r="F884" s="11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28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1"/>
      <c r="F885" s="11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28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1"/>
      <c r="F886" s="11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28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1"/>
      <c r="F887" s="11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28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1"/>
      <c r="F888" s="11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28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1"/>
      <c r="F889" s="11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28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1"/>
      <c r="F890" s="11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28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1"/>
      <c r="F891" s="11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28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1"/>
      <c r="F892" s="11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28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1"/>
      <c r="F893" s="11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28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1"/>
      <c r="F894" s="11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28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1"/>
      <c r="F895" s="11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28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1"/>
      <c r="F896" s="11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28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1"/>
      <c r="F897" s="11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28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1"/>
      <c r="F898" s="11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28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1"/>
      <c r="F899" s="11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28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1"/>
      <c r="F900" s="11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28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1"/>
      <c r="F901" s="11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28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1"/>
      <c r="F902" s="11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28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1"/>
      <c r="F903" s="11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28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1"/>
      <c r="F904" s="11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28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1"/>
      <c r="F905" s="11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28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1"/>
      <c r="F906" s="11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28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1"/>
      <c r="F907" s="11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28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1"/>
      <c r="F908" s="11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28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1"/>
      <c r="F909" s="11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28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1"/>
      <c r="F910" s="11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28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1"/>
      <c r="F911" s="11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28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1"/>
      <c r="F912" s="11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28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1"/>
      <c r="F913" s="11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28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1"/>
      <c r="F914" s="11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28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1"/>
      <c r="F915" s="11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28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1"/>
      <c r="F916" s="11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28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1"/>
      <c r="F917" s="11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28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1"/>
      <c r="F918" s="11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28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1"/>
      <c r="F919" s="11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28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1"/>
      <c r="F920" s="11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28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1"/>
      <c r="F921" s="11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28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1"/>
      <c r="F922" s="11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28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1"/>
      <c r="F923" s="11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28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1"/>
      <c r="F924" s="11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28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1"/>
      <c r="F925" s="11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28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1"/>
      <c r="F926" s="11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28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1"/>
      <c r="F927" s="11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28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1"/>
      <c r="F928" s="11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28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1"/>
      <c r="F929" s="11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28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1"/>
      <c r="F930" s="11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28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1"/>
      <c r="F931" s="11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28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1"/>
      <c r="F932" s="11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28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1"/>
      <c r="F933" s="11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28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1"/>
      <c r="F934" s="11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28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1"/>
      <c r="F935" s="11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28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1"/>
      <c r="F936" s="11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28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1"/>
      <c r="F937" s="11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28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1"/>
      <c r="F938" s="11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28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1"/>
      <c r="F939" s="11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28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1"/>
      <c r="F940" s="11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28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1"/>
      <c r="F941" s="11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28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1"/>
      <c r="F942" s="11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28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1"/>
      <c r="F943" s="11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28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1"/>
      <c r="F944" s="11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28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1"/>
      <c r="F945" s="11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28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1"/>
      <c r="F946" s="11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28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1"/>
      <c r="F947" s="11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28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1"/>
      <c r="F948" s="11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28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1"/>
      <c r="F949" s="11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28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1"/>
      <c r="F950" s="11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28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1"/>
      <c r="F951" s="11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28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1"/>
      <c r="F952" s="11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28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1"/>
      <c r="F953" s="11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28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1"/>
      <c r="F954" s="11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28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1"/>
      <c r="F955" s="11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28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1"/>
      <c r="F956" s="11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28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1"/>
      <c r="F957" s="11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28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1"/>
      <c r="F958" s="11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28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1"/>
      <c r="F959" s="11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28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1"/>
      <c r="F960" s="11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28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1"/>
      <c r="F961" s="11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28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1"/>
      <c r="F962" s="11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28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1"/>
      <c r="F963" s="11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28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1"/>
      <c r="F964" s="11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28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1"/>
      <c r="F965" s="11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28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1"/>
      <c r="F966" s="11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28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1"/>
      <c r="F967" s="11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28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1"/>
      <c r="F968" s="11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28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1"/>
      <c r="F969" s="11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28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1"/>
      <c r="F970" s="11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28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1"/>
      <c r="F971" s="11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28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1"/>
      <c r="F972" s="11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28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1"/>
      <c r="F973" s="11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28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1"/>
      <c r="F974" s="11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28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1"/>
      <c r="F975" s="11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28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1"/>
      <c r="F976" s="11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28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1"/>
      <c r="F977" s="11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28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1"/>
      <c r="F978" s="11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28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1"/>
      <c r="F979" s="11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28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1"/>
      <c r="F980" s="11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28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1"/>
      <c r="F981" s="11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28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1"/>
      <c r="F982" s="11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28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1"/>
      <c r="F983" s="11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28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48"/>
      <c r="B984" s="48"/>
      <c r="C984" s="48"/>
      <c r="D984" s="48"/>
      <c r="E984" s="64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</row>
    <row r="985">
      <c r="A985" s="48"/>
      <c r="B985" s="48"/>
      <c r="C985" s="48"/>
      <c r="D985" s="48"/>
      <c r="E985" s="64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</row>
    <row r="986">
      <c r="A986" s="48"/>
      <c r="B986" s="48"/>
      <c r="C986" s="48"/>
      <c r="D986" s="48"/>
      <c r="E986" s="64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</row>
    <row r="987">
      <c r="A987" s="48"/>
      <c r="B987" s="48"/>
      <c r="C987" s="48"/>
      <c r="D987" s="48"/>
      <c r="E987" s="64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</row>
    <row r="988">
      <c r="A988" s="48"/>
      <c r="B988" s="48"/>
      <c r="C988" s="48"/>
      <c r="D988" s="48"/>
      <c r="E988" s="64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</row>
    <row r="989">
      <c r="A989" s="48"/>
      <c r="B989" s="48"/>
      <c r="C989" s="48"/>
      <c r="D989" s="48"/>
      <c r="E989" s="64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</row>
    <row r="990">
      <c r="A990" s="48"/>
      <c r="B990" s="48"/>
      <c r="C990" s="48"/>
      <c r="D990" s="48"/>
      <c r="E990" s="64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</row>
    <row r="991">
      <c r="A991" s="48"/>
      <c r="B991" s="48"/>
      <c r="C991" s="48"/>
      <c r="D991" s="48"/>
      <c r="E991" s="64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</row>
    <row r="992">
      <c r="A992" s="48"/>
      <c r="B992" s="48"/>
      <c r="C992" s="48"/>
      <c r="D992" s="48"/>
      <c r="E992" s="64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</row>
    <row r="993">
      <c r="A993" s="48"/>
      <c r="B993" s="48"/>
      <c r="C993" s="48"/>
      <c r="D993" s="48"/>
      <c r="E993" s="64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</row>
    <row r="994">
      <c r="A994" s="48"/>
      <c r="B994" s="48"/>
      <c r="C994" s="48"/>
      <c r="D994" s="48"/>
      <c r="E994" s="64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</row>
    <row r="995">
      <c r="A995" s="48"/>
      <c r="B995" s="48"/>
      <c r="C995" s="48"/>
      <c r="D995" s="48"/>
      <c r="E995" s="64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</row>
    <row r="996">
      <c r="A996" s="48"/>
      <c r="B996" s="48"/>
      <c r="C996" s="48"/>
      <c r="D996" s="48"/>
      <c r="E996" s="64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</row>
    <row r="997">
      <c r="A997" s="48"/>
      <c r="B997" s="48"/>
      <c r="C997" s="48"/>
      <c r="D997" s="48"/>
      <c r="E997" s="64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</row>
    <row r="998">
      <c r="A998" s="48"/>
      <c r="B998" s="48"/>
      <c r="C998" s="48"/>
      <c r="D998" s="48"/>
      <c r="E998" s="64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</row>
  </sheetData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0</v>
      </c>
      <c r="B1" s="79" t="s">
        <v>8</v>
      </c>
      <c r="C1" s="79" t="s">
        <v>11</v>
      </c>
      <c r="D1" s="79" t="s">
        <v>64</v>
      </c>
      <c r="E1" s="79" t="s">
        <v>65</v>
      </c>
      <c r="F1" s="79" t="s">
        <v>66</v>
      </c>
      <c r="G1" s="79" t="s">
        <v>67</v>
      </c>
      <c r="H1" s="79" t="s">
        <v>68</v>
      </c>
      <c r="I1" s="79" t="s">
        <v>69</v>
      </c>
      <c r="K1" s="79" t="s">
        <v>70</v>
      </c>
      <c r="L1" s="79" t="s">
        <v>71</v>
      </c>
    </row>
    <row r="2">
      <c r="A2" s="79" t="s">
        <v>25</v>
      </c>
      <c r="B2" s="79" t="s">
        <v>26</v>
      </c>
      <c r="C2" s="80">
        <v>31491.0</v>
      </c>
      <c r="D2" s="81">
        <v>14140.0</v>
      </c>
      <c r="E2" s="81">
        <v>141.4</v>
      </c>
      <c r="F2" s="81">
        <v>0.0</v>
      </c>
      <c r="G2" s="81">
        <v>0.0</v>
      </c>
      <c r="H2" s="81">
        <v>0.0</v>
      </c>
      <c r="I2" s="81">
        <v>0.0</v>
      </c>
      <c r="K2" s="81">
        <v>14140.0</v>
      </c>
      <c r="L2" s="81">
        <v>141.4</v>
      </c>
    </row>
    <row r="3">
      <c r="A3" s="79" t="s">
        <v>52</v>
      </c>
      <c r="B3" s="81">
        <v>5.22898441502E11</v>
      </c>
      <c r="C3" s="82"/>
      <c r="D3" s="81">
        <v>0.0</v>
      </c>
      <c r="E3" s="81">
        <v>0.0</v>
      </c>
      <c r="F3" s="81">
        <v>0.0</v>
      </c>
      <c r="G3" s="81">
        <v>0.0</v>
      </c>
      <c r="H3" s="81">
        <v>20202.0</v>
      </c>
      <c r="I3" s="81">
        <v>1.0</v>
      </c>
      <c r="K3" s="81">
        <v>20202.0</v>
      </c>
      <c r="L3" s="81">
        <v>1.0</v>
      </c>
    </row>
    <row r="4">
      <c r="A4" s="79" t="s">
        <v>55</v>
      </c>
      <c r="B4" s="81">
        <v>7.72852106171E11</v>
      </c>
      <c r="C4" s="79" t="s">
        <v>57</v>
      </c>
      <c r="D4" s="81">
        <v>0.0</v>
      </c>
      <c r="E4" s="81">
        <v>0.0</v>
      </c>
      <c r="F4" s="81">
        <v>0.0</v>
      </c>
      <c r="G4" s="81">
        <v>0.0</v>
      </c>
      <c r="H4" s="81">
        <v>40404.0</v>
      </c>
      <c r="I4" s="81">
        <v>1.0</v>
      </c>
      <c r="K4" s="81">
        <v>40404.0</v>
      </c>
      <c r="L4" s="81">
        <v>1.0</v>
      </c>
    </row>
    <row r="5">
      <c r="A5" s="79" t="s">
        <v>58</v>
      </c>
      <c r="B5" s="81">
        <v>4.49041349694E11</v>
      </c>
      <c r="C5" s="79" t="s">
        <v>60</v>
      </c>
      <c r="D5" s="81">
        <v>0.0</v>
      </c>
      <c r="E5" s="81">
        <v>0.0</v>
      </c>
      <c r="F5" s="81">
        <v>0.0</v>
      </c>
      <c r="G5" s="81">
        <v>0.0</v>
      </c>
      <c r="H5" s="81">
        <v>20202.0</v>
      </c>
      <c r="I5" s="81">
        <v>1.0</v>
      </c>
      <c r="K5" s="81">
        <v>20202.0</v>
      </c>
      <c r="L5" s="81">
        <v>1.0</v>
      </c>
    </row>
    <row r="6">
      <c r="A6" s="79" t="s">
        <v>61</v>
      </c>
      <c r="B6" s="81">
        <v>3.15011803958E11</v>
      </c>
      <c r="C6" s="79" t="s">
        <v>63</v>
      </c>
      <c r="D6" s="81">
        <v>0.0</v>
      </c>
      <c r="E6" s="81">
        <v>0.0</v>
      </c>
      <c r="F6" s="81">
        <v>0.0</v>
      </c>
      <c r="G6" s="81">
        <v>0.0</v>
      </c>
      <c r="H6" s="81">
        <v>20202.0</v>
      </c>
      <c r="I6" s="81">
        <v>1.0</v>
      </c>
      <c r="K6" s="81">
        <v>20202.0</v>
      </c>
      <c r="L6" s="81">
        <v>1.0</v>
      </c>
    </row>
    <row r="7">
      <c r="A7" s="82"/>
      <c r="C7" s="83"/>
    </row>
    <row r="8">
      <c r="A8" s="79" t="s">
        <v>72</v>
      </c>
      <c r="D8" s="84">
        <f t="shared" ref="D8:I8" si="1">SUM(D2:D6)</f>
        <v>14140</v>
      </c>
      <c r="E8" s="84">
        <f t="shared" si="1"/>
        <v>141.4</v>
      </c>
      <c r="F8" s="84">
        <f t="shared" si="1"/>
        <v>0</v>
      </c>
      <c r="G8" s="84">
        <f t="shared" si="1"/>
        <v>0</v>
      </c>
      <c r="H8" s="84">
        <f t="shared" si="1"/>
        <v>101010</v>
      </c>
      <c r="I8" s="84">
        <f t="shared" si="1"/>
        <v>4</v>
      </c>
      <c r="K8" s="84">
        <f t="shared" ref="K8:L8" si="2">SUM(K2:K6)</f>
        <v>115150</v>
      </c>
      <c r="L8" s="84">
        <f t="shared" si="2"/>
        <v>145.4</v>
      </c>
    </row>
    <row r="9">
      <c r="A9" s="79" t="s">
        <v>73</v>
      </c>
      <c r="C9" s="83"/>
      <c r="D9" s="81">
        <v>14140.0</v>
      </c>
      <c r="E9" s="81">
        <v>142.0</v>
      </c>
      <c r="F9" s="81">
        <v>0.0</v>
      </c>
      <c r="G9" s="81">
        <v>0.0</v>
      </c>
      <c r="H9" s="81">
        <v>101010.0</v>
      </c>
      <c r="I9" s="81">
        <v>4.0</v>
      </c>
      <c r="K9" s="81">
        <v>115150.0</v>
      </c>
      <c r="L9" s="81">
        <v>146.0</v>
      </c>
    </row>
    <row r="10">
      <c r="C10" s="83"/>
    </row>
    <row r="11">
      <c r="C11" s="83"/>
    </row>
    <row r="12">
      <c r="C12" s="83"/>
    </row>
    <row r="13">
      <c r="C13" s="83"/>
    </row>
    <row r="14">
      <c r="C14" s="83"/>
    </row>
    <row r="15">
      <c r="C15" s="83"/>
    </row>
    <row r="16">
      <c r="C16" s="83"/>
    </row>
    <row r="17">
      <c r="C17" s="83"/>
    </row>
    <row r="18">
      <c r="C18" s="83"/>
    </row>
    <row r="19">
      <c r="C19" s="83"/>
    </row>
    <row r="20">
      <c r="C20" s="83"/>
    </row>
    <row r="21">
      <c r="C21" s="83"/>
    </row>
    <row r="22">
      <c r="C22" s="83"/>
    </row>
    <row r="23">
      <c r="C23" s="83"/>
    </row>
    <row r="24">
      <c r="C24" s="83"/>
    </row>
    <row r="25">
      <c r="C25" s="83"/>
    </row>
    <row r="26">
      <c r="C26" s="83"/>
    </row>
    <row r="27">
      <c r="C27" s="83"/>
    </row>
    <row r="28">
      <c r="C28" s="83"/>
    </row>
    <row r="29">
      <c r="C29" s="83"/>
    </row>
    <row r="30">
      <c r="C30" s="8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74</v>
      </c>
    </row>
    <row r="2">
      <c r="A2" s="79" t="s">
        <v>75</v>
      </c>
    </row>
    <row r="3">
      <c r="A3" s="79" t="s">
        <v>76</v>
      </c>
    </row>
    <row r="4">
      <c r="A4" s="79" t="s">
        <v>77</v>
      </c>
    </row>
    <row r="6">
      <c r="A6" s="79" t="s">
        <v>78</v>
      </c>
    </row>
    <row r="7">
      <c r="A7" s="79" t="s">
        <v>79</v>
      </c>
    </row>
    <row r="9">
      <c r="A9" s="79" t="s">
        <v>80</v>
      </c>
    </row>
    <row r="10">
      <c r="A10" s="79" t="s">
        <v>81</v>
      </c>
    </row>
    <row r="11">
      <c r="A11" s="79" t="s">
        <v>82</v>
      </c>
    </row>
    <row r="12">
      <c r="A12" s="79" t="s">
        <v>83</v>
      </c>
    </row>
    <row r="14">
      <c r="A14" s="79" t="s">
        <v>84</v>
      </c>
    </row>
    <row r="15">
      <c r="A15" s="79" t="s">
        <v>85</v>
      </c>
    </row>
    <row r="16">
      <c r="A16" s="79" t="s">
        <v>86</v>
      </c>
    </row>
    <row r="17">
      <c r="A17" s="79" t="s">
        <v>87</v>
      </c>
    </row>
    <row r="18">
      <c r="A18" s="79" t="s">
        <v>88</v>
      </c>
    </row>
    <row r="19">
      <c r="A19" s="79" t="s">
        <v>89</v>
      </c>
    </row>
    <row r="20">
      <c r="A20" s="79" t="s">
        <v>90</v>
      </c>
    </row>
    <row r="21">
      <c r="A21" s="79" t="s">
        <v>91</v>
      </c>
    </row>
    <row r="22">
      <c r="A22" s="79" t="s">
        <v>92</v>
      </c>
    </row>
    <row r="23">
      <c r="A23" s="79" t="s">
        <v>93</v>
      </c>
    </row>
    <row r="24">
      <c r="A24" s="79" t="s">
        <v>94</v>
      </c>
    </row>
    <row r="25">
      <c r="A25" s="79" t="s">
        <v>95</v>
      </c>
    </row>
    <row r="27">
      <c r="A27" s="79" t="s">
        <v>96</v>
      </c>
    </row>
    <row r="28">
      <c r="A28" s="79" t="s">
        <v>97</v>
      </c>
    </row>
    <row r="30">
      <c r="A30" s="79" t="s">
        <v>98</v>
      </c>
    </row>
    <row r="31">
      <c r="A31" s="79" t="s">
        <v>99</v>
      </c>
    </row>
    <row r="32">
      <c r="A32" s="79" t="s">
        <v>100</v>
      </c>
    </row>
    <row r="33">
      <c r="A33" s="79" t="s">
        <v>101</v>
      </c>
    </row>
    <row r="34">
      <c r="A34" s="79" t="s">
        <v>102</v>
      </c>
    </row>
    <row r="35">
      <c r="A35" s="79" t="s">
        <v>103</v>
      </c>
    </row>
    <row r="36">
      <c r="A36" s="79" t="s">
        <v>104</v>
      </c>
    </row>
    <row r="37">
      <c r="A37" s="79" t="s">
        <v>105</v>
      </c>
    </row>
    <row r="38">
      <c r="A38" s="79" t="s">
        <v>106</v>
      </c>
    </row>
    <row r="39">
      <c r="A39" s="79" t="s">
        <v>107</v>
      </c>
    </row>
    <row r="40">
      <c r="A40" s="79" t="s">
        <v>108</v>
      </c>
    </row>
    <row r="41">
      <c r="A41" s="79" t="s">
        <v>109</v>
      </c>
    </row>
    <row r="42">
      <c r="A42" s="79" t="s">
        <v>110</v>
      </c>
    </row>
    <row r="43">
      <c r="A43" s="79" t="s">
        <v>111</v>
      </c>
    </row>
    <row r="44">
      <c r="A44" s="79" t="s">
        <v>112</v>
      </c>
    </row>
    <row r="45">
      <c r="A45" s="79" t="s">
        <v>109</v>
      </c>
    </row>
    <row r="46">
      <c r="A46" s="79" t="s">
        <v>113</v>
      </c>
    </row>
    <row r="47">
      <c r="A47" s="79" t="s">
        <v>114</v>
      </c>
    </row>
    <row r="48">
      <c r="A48" s="79" t="s">
        <v>115</v>
      </c>
    </row>
    <row r="49">
      <c r="A49" s="79" t="s">
        <v>109</v>
      </c>
    </row>
    <row r="50">
      <c r="A50" s="79" t="s">
        <v>116</v>
      </c>
    </row>
    <row r="51">
      <c r="A51" s="79" t="s">
        <v>117</v>
      </c>
    </row>
    <row r="52">
      <c r="A52" s="79" t="s">
        <v>118</v>
      </c>
    </row>
    <row r="53">
      <c r="A53" s="79" t="s">
        <v>109</v>
      </c>
    </row>
    <row r="54">
      <c r="A54" s="79" t="s">
        <v>109</v>
      </c>
    </row>
    <row r="55">
      <c r="A55" s="79" t="s">
        <v>119</v>
      </c>
    </row>
    <row r="56">
      <c r="A56" s="79" t="s">
        <v>119</v>
      </c>
    </row>
    <row r="58">
      <c r="A58" s="79" t="s">
        <v>120</v>
      </c>
    </row>
    <row r="59">
      <c r="A59" s="79" t="s">
        <v>121</v>
      </c>
    </row>
    <row r="60">
      <c r="A60" s="79" t="s">
        <v>122</v>
      </c>
    </row>
    <row r="61">
      <c r="A61" s="79" t="s">
        <v>123</v>
      </c>
    </row>
    <row r="62">
      <c r="A62" s="79" t="s">
        <v>124</v>
      </c>
    </row>
    <row r="63">
      <c r="A63" s="79" t="s">
        <v>125</v>
      </c>
    </row>
    <row r="64">
      <c r="A64" s="79" t="s">
        <v>119</v>
      </c>
    </row>
    <row r="66">
      <c r="A66" s="79" t="s">
        <v>126</v>
      </c>
    </row>
    <row r="67">
      <c r="A67" s="79" t="s">
        <v>127</v>
      </c>
    </row>
    <row r="68">
      <c r="A68" s="79" t="s">
        <v>128</v>
      </c>
    </row>
    <row r="69">
      <c r="A69" s="79" t="s">
        <v>129</v>
      </c>
    </row>
    <row r="70">
      <c r="A70" s="79" t="s">
        <v>130</v>
      </c>
    </row>
    <row r="71">
      <c r="A71" s="79" t="s">
        <v>131</v>
      </c>
    </row>
    <row r="72">
      <c r="A72" s="79" t="s">
        <v>132</v>
      </c>
    </row>
    <row r="73">
      <c r="A73" s="79" t="s">
        <v>133</v>
      </c>
    </row>
    <row r="74">
      <c r="A74" s="79" t="s">
        <v>134</v>
      </c>
    </row>
    <row r="75">
      <c r="A75" s="79" t="s">
        <v>135</v>
      </c>
    </row>
    <row r="76">
      <c r="A76" s="79" t="s">
        <v>136</v>
      </c>
    </row>
    <row r="77">
      <c r="A77" s="79" t="s">
        <v>137</v>
      </c>
    </row>
    <row r="78">
      <c r="A78" s="79" t="s">
        <v>138</v>
      </c>
    </row>
    <row r="79">
      <c r="A79" s="79" t="s">
        <v>139</v>
      </c>
    </row>
    <row r="81">
      <c r="A81" s="79" t="s">
        <v>140</v>
      </c>
    </row>
    <row r="82">
      <c r="A82" s="79" t="s">
        <v>141</v>
      </c>
    </row>
    <row r="83">
      <c r="A83" s="79" t="s">
        <v>142</v>
      </c>
    </row>
    <row r="85">
      <c r="A85" s="79" t="s">
        <v>143</v>
      </c>
    </row>
    <row r="86">
      <c r="A86" s="79" t="s">
        <v>144</v>
      </c>
    </row>
    <row r="87">
      <c r="A87" s="79" t="s">
        <v>145</v>
      </c>
    </row>
    <row r="89">
      <c r="A89" s="79" t="s">
        <v>146</v>
      </c>
    </row>
    <row r="90">
      <c r="A90" s="79" t="s">
        <v>147</v>
      </c>
    </row>
    <row r="91">
      <c r="A91" s="79" t="s">
        <v>148</v>
      </c>
    </row>
    <row r="92">
      <c r="A92" s="79" t="s">
        <v>149</v>
      </c>
    </row>
    <row r="93">
      <c r="A93" s="79" t="s">
        <v>150</v>
      </c>
    </row>
    <row r="94">
      <c r="A94" s="79" t="s">
        <v>151</v>
      </c>
    </row>
    <row r="95">
      <c r="A95" s="79" t="s">
        <v>152</v>
      </c>
    </row>
    <row r="96">
      <c r="A96" s="79" t="s">
        <v>153</v>
      </c>
    </row>
    <row r="97">
      <c r="A97" s="79" t="s">
        <v>154</v>
      </c>
    </row>
    <row r="98">
      <c r="A98" s="79" t="s">
        <v>155</v>
      </c>
    </row>
    <row r="100">
      <c r="A100" s="79" t="s">
        <v>156</v>
      </c>
    </row>
    <row r="101">
      <c r="A101" s="79" t="s">
        <v>157</v>
      </c>
    </row>
    <row r="102">
      <c r="A102" s="79" t="s">
        <v>158</v>
      </c>
    </row>
    <row r="104">
      <c r="A104" s="79" t="s">
        <v>159</v>
      </c>
    </row>
    <row r="106">
      <c r="A106" s="79" t="s">
        <v>160</v>
      </c>
    </row>
    <row r="107">
      <c r="A107" s="79" t="s">
        <v>161</v>
      </c>
    </row>
    <row r="108">
      <c r="A108" s="79" t="s">
        <v>162</v>
      </c>
    </row>
    <row r="109">
      <c r="A109" s="79" t="s">
        <v>163</v>
      </c>
    </row>
    <row r="110">
      <c r="A110" s="79" t="s">
        <v>119</v>
      </c>
    </row>
    <row r="111">
      <c r="A111" s="79" t="s">
        <v>164</v>
      </c>
    </row>
    <row r="112">
      <c r="A112" s="79" t="s">
        <v>165</v>
      </c>
    </row>
    <row r="113">
      <c r="A113" s="79" t="s">
        <v>109</v>
      </c>
    </row>
    <row r="114">
      <c r="A114" s="79" t="s">
        <v>109</v>
      </c>
    </row>
  </sheetData>
  <drawing r:id="rId1"/>
</worksheet>
</file>